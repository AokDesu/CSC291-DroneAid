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Summary by Epic" sheetId="3" state="visible" r:id="rId3"/>
    <sheet xmlns:r="http://schemas.openxmlformats.org/officeDocument/2006/relationships" name="Summary by Ow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DroneAid — Wideband Delphi Backlog Estimation</t>
        </is>
      </c>
    </row>
    <row r="2">
      <c r="A2" t="inlineStr"/>
    </row>
    <row r="3">
      <c r="A3" t="inlineStr">
        <is>
          <t>Estimation scale: modified Fibonacci story points (1, 2, 3, 5, 8, 13).</t>
        </is>
      </c>
    </row>
    <row r="4">
      <c r="A4" t="inlineStr">
        <is>
          <t>One story point ≈ 0.25 person-days of focused work.</t>
        </is>
      </c>
    </row>
    <row r="5">
      <c r="A5" t="inlineStr"/>
    </row>
    <row r="6">
      <c r="A6" s="1" t="inlineStr">
        <is>
          <t>Process applied:</t>
        </is>
      </c>
    </row>
    <row r="7">
      <c r="A7" t="inlineStr">
        <is>
          <t>1. Backlog items derived from the design spec acceptance criteria.</t>
        </is>
      </c>
    </row>
    <row r="8">
      <c r="A8" t="inlineStr">
        <is>
          <t>2. Five estimators (Aok, Belle, Bew, Poom, Tawan) independently estimate each item without seeing others' values.</t>
        </is>
      </c>
    </row>
    <row r="9">
      <c r="A9" t="inlineStr">
        <is>
          <t>3. Round 1: open submissions. Coordinator (Aok) computes spread (min / median / max / range).</t>
        </is>
      </c>
    </row>
    <row r="10">
      <c r="A10" t="inlineStr">
        <is>
          <t>4. Items with range &gt; 2 Fibonacci steps go to discussion.</t>
        </is>
      </c>
    </row>
    <row r="11">
      <c r="A11" t="inlineStr">
        <is>
          <t>5. Round 2: estimators re-submit after hearing rationale for outliers.</t>
        </is>
      </c>
    </row>
    <row r="12">
      <c r="A12" t="inlineStr">
        <is>
          <t>6. Round 3: final convergence pass.</t>
        </is>
      </c>
    </row>
    <row r="13">
      <c r="A13" t="inlineStr">
        <is>
          <t>7. Consensus = median of Round 3 values, rounded to nearest Fibonacci step.</t>
        </is>
      </c>
    </row>
    <row r="14">
      <c r="A14" t="inlineStr"/>
    </row>
    <row r="15">
      <c r="A15" t="inlineStr">
        <is>
          <t>Convergence is visible in the Backlog sheet: spread column shrinks across R1 → R2 → R3.</t>
        </is>
      </c>
    </row>
    <row r="16">
      <c r="A16" t="inlineStr">
        <is>
          <t>Story points roll up by epic (Summary sheet) and by owner for capacity planning.</t>
        </is>
      </c>
    </row>
    <row r="17">
      <c r="A17" t="inlineStr"/>
    </row>
    <row r="18">
      <c r="A18" s="1" t="inlineStr">
        <is>
          <t>Estimator key:</t>
        </is>
      </c>
    </row>
    <row r="19">
      <c r="A19" t="inlineStr">
        <is>
          <t>E1 = Aok (Lead, Backend)</t>
        </is>
      </c>
    </row>
    <row r="20">
      <c r="A20" t="inlineStr">
        <is>
          <t>E2 = Belle (Identity + Shared UI)</t>
        </is>
      </c>
    </row>
    <row r="21">
      <c r="A21" t="inlineStr">
        <is>
          <t>E3 = Bew (Request Domain)</t>
        </is>
      </c>
    </row>
    <row r="22">
      <c r="A22" t="inlineStr">
        <is>
          <t>E4 = Poom (Tracking + Maps)</t>
        </is>
      </c>
    </row>
    <row r="23">
      <c r="A23" t="inlineStr">
        <is>
          <t>E5 = Tawan (Fleet Domain)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30" customWidth="1" min="36" max="36"/>
  </cols>
  <sheetData>
    <row r="1">
      <c r="A1" s="2" t="inlineStr">
        <is>
          <t>ID</t>
        </is>
      </c>
      <c r="B1" s="2" t="inlineStr">
        <is>
          <t>Epic</t>
        </is>
      </c>
      <c r="C1" s="2" t="inlineStr">
        <is>
          <t>User Story / Task</t>
        </is>
      </c>
      <c r="D1" s="2" t="inlineStr">
        <is>
          <t>Acceptance Criteria</t>
        </is>
      </c>
      <c r="E1" s="2" t="inlineStr">
        <is>
          <t>Owner</t>
        </is>
      </c>
      <c r="F1" s="2" t="inlineStr">
        <is>
          <t>Priority</t>
        </is>
      </c>
      <c r="G1" s="2" t="inlineStr">
        <is>
          <t>Sprint</t>
        </is>
      </c>
      <c r="H1" s="2" t="inlineStr">
        <is>
          <t>Round 1 — E1..E5</t>
        </is>
      </c>
      <c r="M1" s="2" t="inlineStr">
        <is>
          <t>R1 Min</t>
        </is>
      </c>
      <c r="N1" s="2" t="inlineStr">
        <is>
          <t>R1 Median</t>
        </is>
      </c>
      <c r="O1" s="2" t="inlineStr">
        <is>
          <t>R1 Max</t>
        </is>
      </c>
      <c r="P1" s="2" t="inlineStr">
        <is>
          <t>R1 Range</t>
        </is>
      </c>
      <c r="Q1" s="2" t="inlineStr">
        <is>
          <t>Round 2 — E1..E5</t>
        </is>
      </c>
      <c r="V1" s="2" t="inlineStr">
        <is>
          <t>R2 Min</t>
        </is>
      </c>
      <c r="W1" s="2" t="inlineStr">
        <is>
          <t>R2 Median</t>
        </is>
      </c>
      <c r="X1" s="2" t="inlineStr">
        <is>
          <t>R2 Max</t>
        </is>
      </c>
      <c r="Y1" s="2" t="inlineStr">
        <is>
          <t>R2 Range</t>
        </is>
      </c>
      <c r="Z1" s="2" t="inlineStr">
        <is>
          <t>Round 3 — E1..E5</t>
        </is>
      </c>
      <c r="AE1" s="2" t="inlineStr">
        <is>
          <t>R3 Min</t>
        </is>
      </c>
      <c r="AF1" s="2" t="inlineStr">
        <is>
          <t>R3 Median</t>
        </is>
      </c>
      <c r="AG1" s="2" t="inlineStr">
        <is>
          <t>R3 Max</t>
        </is>
      </c>
      <c r="AH1" s="2" t="inlineStr">
        <is>
          <t>R3 Range</t>
        </is>
      </c>
      <c r="AI1" s="2" t="inlineStr">
        <is>
          <t>Consensus (SP)</t>
        </is>
      </c>
      <c r="AJ1" s="2" t="inlineStr">
        <is>
          <t>Notes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Aok</t>
        </is>
      </c>
      <c r="I2" s="3" t="inlineStr">
        <is>
          <t>Belle</t>
        </is>
      </c>
      <c r="J2" s="3" t="inlineStr">
        <is>
          <t>Bew</t>
        </is>
      </c>
      <c r="K2" s="3" t="inlineStr">
        <is>
          <t>Poom</t>
        </is>
      </c>
      <c r="L2" s="3" t="inlineStr">
        <is>
          <t>Tawan</t>
        </is>
      </c>
      <c r="M2" s="3" t="inlineStr">
        <is>
          <t>Min</t>
        </is>
      </c>
      <c r="N2" s="3" t="inlineStr">
        <is>
          <t>Median</t>
        </is>
      </c>
      <c r="O2" s="3" t="inlineStr">
        <is>
          <t>Max</t>
        </is>
      </c>
      <c r="P2" s="3" t="inlineStr">
        <is>
          <t>Range</t>
        </is>
      </c>
      <c r="Q2" s="3" t="inlineStr">
        <is>
          <t>Aok</t>
        </is>
      </c>
      <c r="R2" s="3" t="inlineStr">
        <is>
          <t>Belle</t>
        </is>
      </c>
      <c r="S2" s="3" t="inlineStr">
        <is>
          <t>Bew</t>
        </is>
      </c>
      <c r="T2" s="3" t="inlineStr">
        <is>
          <t>Poom</t>
        </is>
      </c>
      <c r="U2" s="3" t="inlineStr">
        <is>
          <t>Tawan</t>
        </is>
      </c>
      <c r="V2" s="3" t="inlineStr">
        <is>
          <t>Min</t>
        </is>
      </c>
      <c r="W2" s="3" t="inlineStr">
        <is>
          <t>Median</t>
        </is>
      </c>
      <c r="X2" s="3" t="inlineStr">
        <is>
          <t>Max</t>
        </is>
      </c>
      <c r="Y2" s="3" t="inlineStr">
        <is>
          <t>Range</t>
        </is>
      </c>
      <c r="Z2" s="3" t="inlineStr">
        <is>
          <t>Aok</t>
        </is>
      </c>
      <c r="AA2" s="3" t="inlineStr">
        <is>
          <t>Belle</t>
        </is>
      </c>
      <c r="AB2" s="3" t="inlineStr">
        <is>
          <t>Bew</t>
        </is>
      </c>
      <c r="AC2" s="3" t="inlineStr">
        <is>
          <t>Poom</t>
        </is>
      </c>
      <c r="AD2" s="3" t="inlineStr">
        <is>
          <t>Tawan</t>
        </is>
      </c>
      <c r="AE2" s="3" t="inlineStr">
        <is>
          <t>Min</t>
        </is>
      </c>
      <c r="AF2" s="3" t="inlineStr">
        <is>
          <t>Median</t>
        </is>
      </c>
      <c r="AG2" s="3" t="inlineStr">
        <is>
          <t>Max</t>
        </is>
      </c>
      <c r="AH2" s="3" t="inlineStr">
        <is>
          <t>Range</t>
        </is>
      </c>
      <c r="AI2" s="3" t="inlineStr"/>
      <c r="AJ2" s="3" t="inlineStr"/>
    </row>
    <row r="3">
      <c r="A3" t="inlineStr">
        <is>
          <t>US-01</t>
        </is>
      </c>
      <c r="B3" t="inlineStr">
        <is>
          <t>Identity</t>
        </is>
      </c>
      <c r="C3" s="4" t="inlineStr">
        <is>
          <t>Register with Thai national ID + password</t>
        </is>
      </c>
      <c r="D3" s="4" t="inlineStr">
        <is>
          <t>Form validates 13-digit ID + checksum; creates Firebase Auth user with synthetic email; users doc auto-provisioned with role=user.</t>
        </is>
      </c>
      <c r="E3" t="inlineStr">
        <is>
          <t>Belle</t>
        </is>
      </c>
      <c r="F3" t="inlineStr">
        <is>
          <t>Must</t>
        </is>
      </c>
      <c r="G3" t="n">
        <v>1</v>
      </c>
      <c r="H3" t="n">
        <v>5</v>
      </c>
      <c r="I3" t="n">
        <v>3</v>
      </c>
      <c r="J3" t="n">
        <v>5</v>
      </c>
      <c r="K3" t="n">
        <v>5</v>
      </c>
      <c r="L3" t="n">
        <v>8</v>
      </c>
      <c r="M3">
        <f>MIN(H3:L3)</f>
        <v/>
      </c>
      <c r="N3">
        <f>MEDIAN(H3:L3)</f>
        <v/>
      </c>
      <c r="O3">
        <f>MAX(H3:L3)</f>
        <v/>
      </c>
      <c r="P3">
        <f>O3-M3</f>
        <v/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>
        <f>MIN(Q3:U3)</f>
        <v/>
      </c>
      <c r="W3">
        <f>MEDIAN(Q3:U3)</f>
        <v/>
      </c>
      <c r="X3">
        <f>MAX(Q3:U3)</f>
        <v/>
      </c>
      <c r="Y3">
        <f>X3-V3</f>
        <v/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>
        <f>MIN(Z3:AD3)</f>
        <v/>
      </c>
      <c r="AF3">
        <f>MEDIAN(Z3:AD3)</f>
        <v/>
      </c>
      <c r="AG3">
        <f>MAX(Z3:AD3)</f>
        <v/>
      </c>
      <c r="AH3">
        <f>AG3-AE3</f>
        <v/>
      </c>
      <c r="AI3">
        <f>AF3</f>
        <v/>
      </c>
      <c r="AJ3" t="inlineStr"/>
    </row>
    <row r="4">
      <c r="A4" t="inlineStr">
        <is>
          <t>US-02</t>
        </is>
      </c>
      <c r="B4" t="inlineStr">
        <is>
          <t>Identity</t>
        </is>
      </c>
      <c r="C4" s="4" t="inlineStr">
        <is>
          <t>Login + logout</t>
        </is>
      </c>
      <c r="D4" s="4" t="inlineStr">
        <is>
          <t>User logs in with ID + password; logout removes FCM token from users doc.</t>
        </is>
      </c>
      <c r="E4" t="inlineStr">
        <is>
          <t>Belle</t>
        </is>
      </c>
      <c r="F4" t="inlineStr">
        <is>
          <t>Must</t>
        </is>
      </c>
      <c r="G4" t="n">
        <v>1</v>
      </c>
      <c r="H4" t="n">
        <v>2</v>
      </c>
      <c r="I4" t="n">
        <v>3</v>
      </c>
      <c r="J4" t="n">
        <v>2</v>
      </c>
      <c r="K4" t="n">
        <v>2</v>
      </c>
      <c r="L4" t="n">
        <v>3</v>
      </c>
      <c r="M4">
        <f>MIN(H4:L4)</f>
        <v/>
      </c>
      <c r="N4">
        <f>MEDIAN(H4:L4)</f>
        <v/>
      </c>
      <c r="O4">
        <f>MAX(H4:L4)</f>
        <v/>
      </c>
      <c r="P4">
        <f>O4-M4</f>
        <v/>
      </c>
      <c r="Q4" t="n">
        <v>2</v>
      </c>
      <c r="R4" t="n">
        <v>2</v>
      </c>
      <c r="S4" t="n">
        <v>2</v>
      </c>
      <c r="T4" t="n">
        <v>2</v>
      </c>
      <c r="U4" t="n">
        <v>3</v>
      </c>
      <c r="V4">
        <f>MIN(Q4:U4)</f>
        <v/>
      </c>
      <c r="W4">
        <f>MEDIAN(Q4:U4)</f>
        <v/>
      </c>
      <c r="X4">
        <f>MAX(Q4:U4)</f>
        <v/>
      </c>
      <c r="Y4">
        <f>X4-V4</f>
        <v/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>
        <f>MIN(Z4:AD4)</f>
        <v/>
      </c>
      <c r="AF4">
        <f>MEDIAN(Z4:AD4)</f>
        <v/>
      </c>
      <c r="AG4">
        <f>MAX(Z4:AD4)</f>
        <v/>
      </c>
      <c r="AH4">
        <f>AG4-AE4</f>
        <v/>
      </c>
      <c r="AI4">
        <f>AF4</f>
        <v/>
      </c>
      <c r="AJ4" t="inlineStr"/>
    </row>
    <row r="5">
      <c r="A5" t="inlineStr">
        <is>
          <t>US-03</t>
        </is>
      </c>
      <c r="B5" t="inlineStr">
        <is>
          <t>Identity</t>
        </is>
      </c>
      <c r="C5" s="4" t="inlineStr">
        <is>
          <t>Profile + Settings</t>
        </is>
      </c>
      <c r="D5" s="4" t="inlineStr">
        <is>
          <t>User edits name, phone, delivery pin, language preference; data persisted to users doc.</t>
        </is>
      </c>
      <c r="E5" t="inlineStr">
        <is>
          <t>Belle</t>
        </is>
      </c>
      <c r="F5" t="inlineStr">
        <is>
          <t>Should</t>
        </is>
      </c>
      <c r="G5" t="n">
        <v>2</v>
      </c>
      <c r="H5" t="n">
        <v>3</v>
      </c>
      <c r="I5" t="n">
        <v>5</v>
      </c>
      <c r="J5" t="n">
        <v>3</v>
      </c>
      <c r="K5" t="n">
        <v>3</v>
      </c>
      <c r="L5" t="n">
        <v>5</v>
      </c>
      <c r="M5">
        <f>MIN(H5:L5)</f>
        <v/>
      </c>
      <c r="N5">
        <f>MEDIAN(H5:L5)</f>
        <v/>
      </c>
      <c r="O5">
        <f>MAX(H5:L5)</f>
        <v/>
      </c>
      <c r="P5">
        <f>O5-M5</f>
        <v/>
      </c>
      <c r="Q5" t="n">
        <v>3</v>
      </c>
      <c r="R5" t="n">
        <v>3</v>
      </c>
      <c r="S5" t="n">
        <v>3</v>
      </c>
      <c r="T5" t="n">
        <v>5</v>
      </c>
      <c r="U5" t="n">
        <v>3</v>
      </c>
      <c r="V5">
        <f>MIN(Q5:U5)</f>
        <v/>
      </c>
      <c r="W5">
        <f>MEDIAN(Q5:U5)</f>
        <v/>
      </c>
      <c r="X5">
        <f>MAX(Q5:U5)</f>
        <v/>
      </c>
      <c r="Y5">
        <f>X5-V5</f>
        <v/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>
        <f>MIN(Z5:AD5)</f>
        <v/>
      </c>
      <c r="AF5">
        <f>MEDIAN(Z5:AD5)</f>
        <v/>
      </c>
      <c r="AG5">
        <f>MAX(Z5:AD5)</f>
        <v/>
      </c>
      <c r="AH5">
        <f>AG5-AE5</f>
        <v/>
      </c>
      <c r="AI5">
        <f>AF5</f>
        <v/>
      </c>
      <c r="AJ5" t="inlineStr"/>
    </row>
    <row r="6">
      <c r="A6" t="inlineStr">
        <is>
          <t>US-04</t>
        </is>
      </c>
      <c r="B6" t="inlineStr">
        <is>
          <t>Identity</t>
        </is>
      </c>
      <c r="C6" s="4" t="inlineStr">
        <is>
          <t>Thai ID validator + unit tests</t>
        </is>
      </c>
      <c r="D6" s="4" t="inlineStr">
        <is>
          <t>Pure-Dart + TS implementations sharing tests; rejects bad checksums.</t>
        </is>
      </c>
      <c r="E6" t="inlineStr">
        <is>
          <t>Belle</t>
        </is>
      </c>
      <c r="F6" t="inlineStr">
        <is>
          <t>Must</t>
        </is>
      </c>
      <c r="G6" t="n">
        <v>1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>
        <f>MIN(H6:L6)</f>
        <v/>
      </c>
      <c r="N6">
        <f>MEDIAN(H6:L6)</f>
        <v/>
      </c>
      <c r="O6">
        <f>MAX(H6:L6)</f>
        <v/>
      </c>
      <c r="P6">
        <f>O6-M6</f>
        <v/>
      </c>
      <c r="Q6" t="n">
        <v>2</v>
      </c>
      <c r="R6" t="n">
        <v>2</v>
      </c>
      <c r="S6" t="n">
        <v>2</v>
      </c>
      <c r="T6" t="n">
        <v>3</v>
      </c>
      <c r="U6" t="n">
        <v>2</v>
      </c>
      <c r="V6">
        <f>MIN(Q6:U6)</f>
        <v/>
      </c>
      <c r="W6">
        <f>MEDIAN(Q6:U6)</f>
        <v/>
      </c>
      <c r="X6">
        <f>MAX(Q6:U6)</f>
        <v/>
      </c>
      <c r="Y6">
        <f>X6-V6</f>
        <v/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>
        <f>MIN(Z6:AD6)</f>
        <v/>
      </c>
      <c r="AF6">
        <f>MEDIAN(Z6:AD6)</f>
        <v/>
      </c>
      <c r="AG6">
        <f>MAX(Z6:AD6)</f>
        <v/>
      </c>
      <c r="AH6">
        <f>AG6-AE6</f>
        <v/>
      </c>
      <c r="AI6">
        <f>AF6</f>
        <v/>
      </c>
      <c r="AJ6" t="inlineStr"/>
    </row>
    <row r="7">
      <c r="A7" t="inlineStr">
        <is>
          <t>US-05</t>
        </is>
      </c>
      <c r="B7" t="inlineStr">
        <is>
          <t>Catalog</t>
        </is>
      </c>
      <c r="C7" s="4" t="inlineStr">
        <is>
          <t>Catalog browse + cart</t>
        </is>
      </c>
      <c r="D7" s="4" t="inlineStr">
        <is>
          <t>User filters active+in-stock items, adds to cart with quantity, sees running weight total.</t>
        </is>
      </c>
      <c r="E7" t="inlineStr">
        <is>
          <t>Bew</t>
        </is>
      </c>
      <c r="F7" t="inlineStr">
        <is>
          <t>Must</t>
        </is>
      </c>
      <c r="G7" t="n">
        <v>1</v>
      </c>
      <c r="H7" t="n">
        <v>3</v>
      </c>
      <c r="I7" t="n">
        <v>5</v>
      </c>
      <c r="J7" t="n">
        <v>3</v>
      </c>
      <c r="K7" t="n">
        <v>5</v>
      </c>
      <c r="L7" t="n">
        <v>3</v>
      </c>
      <c r="M7">
        <f>MIN(H7:L7)</f>
        <v/>
      </c>
      <c r="N7">
        <f>MEDIAN(H7:L7)</f>
        <v/>
      </c>
      <c r="O7">
        <f>MAX(H7:L7)</f>
        <v/>
      </c>
      <c r="P7">
        <f>O7-M7</f>
        <v/>
      </c>
      <c r="Q7" t="n">
        <v>3</v>
      </c>
      <c r="R7" t="n">
        <v>3</v>
      </c>
      <c r="S7" t="n">
        <v>5</v>
      </c>
      <c r="T7" t="n">
        <v>3</v>
      </c>
      <c r="U7" t="n">
        <v>3</v>
      </c>
      <c r="V7">
        <f>MIN(Q7:U7)</f>
        <v/>
      </c>
      <c r="W7">
        <f>MEDIAN(Q7:U7)</f>
        <v/>
      </c>
      <c r="X7">
        <f>MAX(Q7:U7)</f>
        <v/>
      </c>
      <c r="Y7">
        <f>X7-V7</f>
        <v/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>
        <f>MIN(Z7:AD7)</f>
        <v/>
      </c>
      <c r="AF7">
        <f>MEDIAN(Z7:AD7)</f>
        <v/>
      </c>
      <c r="AG7">
        <f>MAX(Z7:AD7)</f>
        <v/>
      </c>
      <c r="AH7">
        <f>AG7-AE7</f>
        <v/>
      </c>
      <c r="AI7">
        <f>AF7</f>
        <v/>
      </c>
      <c r="AJ7" t="inlineStr"/>
    </row>
    <row r="8">
      <c r="A8" t="inlineStr">
        <is>
          <t>US-06</t>
        </is>
      </c>
      <c r="B8" t="inlineStr">
        <is>
          <t>Catalog</t>
        </is>
      </c>
      <c r="C8" s="4" t="inlineStr">
        <is>
          <t>Delivery pin picker on map</t>
        </is>
      </c>
      <c r="D8" s="4" t="inlineStr">
        <is>
          <t>User drops/edits a GPS pin; defaults to profile address.</t>
        </is>
      </c>
      <c r="E8" t="inlineStr">
        <is>
          <t>Bew</t>
        </is>
      </c>
      <c r="F8" t="inlineStr">
        <is>
          <t>Must</t>
        </is>
      </c>
      <c r="G8" t="n">
        <v>1</v>
      </c>
      <c r="H8" t="n">
        <v>3</v>
      </c>
      <c r="I8" t="n">
        <v>2</v>
      </c>
      <c r="J8" t="n">
        <v>3</v>
      </c>
      <c r="K8" t="n">
        <v>5</v>
      </c>
      <c r="L8" t="n">
        <v>3</v>
      </c>
      <c r="M8">
        <f>MIN(H8:L8)</f>
        <v/>
      </c>
      <c r="N8">
        <f>MEDIAN(H8:L8)</f>
        <v/>
      </c>
      <c r="O8">
        <f>MAX(H8:L8)</f>
        <v/>
      </c>
      <c r="P8">
        <f>O8-M8</f>
        <v/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>
        <f>MIN(Q8:U8)</f>
        <v/>
      </c>
      <c r="W8">
        <f>MEDIAN(Q8:U8)</f>
        <v/>
      </c>
      <c r="X8">
        <f>MAX(Q8:U8)</f>
        <v/>
      </c>
      <c r="Y8">
        <f>X8-V8</f>
        <v/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>
        <f>MIN(Z8:AD8)</f>
        <v/>
      </c>
      <c r="AF8">
        <f>MEDIAN(Z8:AD8)</f>
        <v/>
      </c>
      <c r="AG8">
        <f>MAX(Z8:AD8)</f>
        <v/>
      </c>
      <c r="AH8">
        <f>AG8-AE8</f>
        <v/>
      </c>
      <c r="AI8">
        <f>AF8</f>
        <v/>
      </c>
      <c r="AJ8" t="inlineStr"/>
    </row>
    <row r="9">
      <c r="A9" t="inlineStr">
        <is>
          <t>US-07</t>
        </is>
      </c>
      <c r="B9" t="inlineStr">
        <is>
          <t>Request</t>
        </is>
      </c>
      <c r="C9" s="4" t="inlineStr">
        <is>
          <t>Submit request</t>
        </is>
      </c>
      <c r="D9" s="4" t="inlineStr">
        <is>
          <t>Calls submitRequest callable; client+server validate weight ≤ max payload and stock available.</t>
        </is>
      </c>
      <c r="E9" t="inlineStr">
        <is>
          <t>Bew</t>
        </is>
      </c>
      <c r="F9" t="inlineStr">
        <is>
          <t>Must</t>
        </is>
      </c>
      <c r="G9" t="n">
        <v>1</v>
      </c>
      <c r="H9" t="n">
        <v>3</v>
      </c>
      <c r="I9" t="n">
        <v>5</v>
      </c>
      <c r="J9" t="n">
        <v>3</v>
      </c>
      <c r="K9" t="n">
        <v>3</v>
      </c>
      <c r="L9" t="n">
        <v>5</v>
      </c>
      <c r="M9">
        <f>MIN(H9:L9)</f>
        <v/>
      </c>
      <c r="N9">
        <f>MEDIAN(H9:L9)</f>
        <v/>
      </c>
      <c r="O9">
        <f>MAX(H9:L9)</f>
        <v/>
      </c>
      <c r="P9">
        <f>O9-M9</f>
        <v/>
      </c>
      <c r="Q9" t="n">
        <v>3</v>
      </c>
      <c r="R9" t="n">
        <v>3</v>
      </c>
      <c r="S9" t="n">
        <v>3</v>
      </c>
      <c r="T9" t="n">
        <v>5</v>
      </c>
      <c r="U9" t="n">
        <v>3</v>
      </c>
      <c r="V9">
        <f>MIN(Q9:U9)</f>
        <v/>
      </c>
      <c r="W9">
        <f>MEDIAN(Q9:U9)</f>
        <v/>
      </c>
      <c r="X9">
        <f>MAX(Q9:U9)</f>
        <v/>
      </c>
      <c r="Y9">
        <f>X9-V9</f>
        <v/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>
        <f>MIN(Z9:AD9)</f>
        <v/>
      </c>
      <c r="AF9">
        <f>MEDIAN(Z9:AD9)</f>
        <v/>
      </c>
      <c r="AG9">
        <f>MAX(Z9:AD9)</f>
        <v/>
      </c>
      <c r="AH9">
        <f>AG9-AE9</f>
        <v/>
      </c>
      <c r="AI9">
        <f>AF9</f>
        <v/>
      </c>
      <c r="AJ9" t="inlineStr"/>
    </row>
    <row r="10">
      <c r="A10" t="inlineStr">
        <is>
          <t>US-08</t>
        </is>
      </c>
      <c r="B10" t="inlineStr">
        <is>
          <t>Request</t>
        </is>
      </c>
      <c r="C10" s="4" t="inlineStr">
        <is>
          <t>Queue page (live status)</t>
        </is>
      </c>
      <c r="D10" s="4" t="inlineStr">
        <is>
          <t>Streams requests where userId == me; shows status chip + ETA when in flight.</t>
        </is>
      </c>
      <c r="E10" t="inlineStr">
        <is>
          <t>Bew</t>
        </is>
      </c>
      <c r="F10" t="inlineStr">
        <is>
          <t>Must</t>
        </is>
      </c>
      <c r="G10" t="n">
        <v>1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>
        <f>MIN(H10:L10)</f>
        <v/>
      </c>
      <c r="N10">
        <f>MEDIAN(H10:L10)</f>
        <v/>
      </c>
      <c r="O10">
        <f>MAX(H10:L10)</f>
        <v/>
      </c>
      <c r="P10">
        <f>O10-M10</f>
        <v/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>
        <f>MIN(Q10:U10)</f>
        <v/>
      </c>
      <c r="W10">
        <f>MEDIAN(Q10:U10)</f>
        <v/>
      </c>
      <c r="X10">
        <f>MAX(Q10:U10)</f>
        <v/>
      </c>
      <c r="Y10">
        <f>X10-V10</f>
        <v/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>
        <f>MIN(Z10:AD10)</f>
        <v/>
      </c>
      <c r="AF10">
        <f>MEDIAN(Z10:AD10)</f>
        <v/>
      </c>
      <c r="AG10">
        <f>MAX(Z10:AD10)</f>
        <v/>
      </c>
      <c r="AH10">
        <f>AG10-AE10</f>
        <v/>
      </c>
      <c r="AI10">
        <f>AF10</f>
        <v/>
      </c>
      <c r="AJ10" t="inlineStr"/>
    </row>
    <row r="11">
      <c r="A11" t="inlineStr">
        <is>
          <t>US-09</t>
        </is>
      </c>
      <c r="B11" t="inlineStr">
        <is>
          <t>Request</t>
        </is>
      </c>
      <c r="C11" s="4" t="inlineStr">
        <is>
          <t>History page</t>
        </is>
      </c>
      <c r="D11" s="4" t="inlineStr">
        <is>
          <t>Lists completed / failed / cancelled requests, newest first, with timestamp.</t>
        </is>
      </c>
      <c r="E11" t="inlineStr">
        <is>
          <t>Bew</t>
        </is>
      </c>
      <c r="F11" t="inlineStr">
        <is>
          <t>Should</t>
        </is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>
        <f>MIN(H11:L11)</f>
        <v/>
      </c>
      <c r="N11">
        <f>MEDIAN(H11:L11)</f>
        <v/>
      </c>
      <c r="O11">
        <f>MAX(H11:L11)</f>
        <v/>
      </c>
      <c r="P11">
        <f>O11-M11</f>
        <v/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>
        <f>MIN(Q11:U11)</f>
        <v/>
      </c>
      <c r="W11">
        <f>MEDIAN(Q11:U11)</f>
        <v/>
      </c>
      <c r="X11">
        <f>MAX(Q11:U11)</f>
        <v/>
      </c>
      <c r="Y11">
        <f>X11-V11</f>
        <v/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>
        <f>MIN(Z11:AD11)</f>
        <v/>
      </c>
      <c r="AF11">
        <f>MEDIAN(Z11:AD11)</f>
        <v/>
      </c>
      <c r="AG11">
        <f>MAX(Z11:AD11)</f>
        <v/>
      </c>
      <c r="AH11">
        <f>AG11-AE11</f>
        <v/>
      </c>
      <c r="AI11">
        <f>AF11</f>
        <v/>
      </c>
      <c r="AJ11" t="inlineStr"/>
    </row>
    <row r="12">
      <c r="A12" t="inlineStr">
        <is>
          <t>US-10</t>
        </is>
      </c>
      <c r="B12" t="inlineStr">
        <is>
          <t>Request</t>
        </is>
      </c>
      <c r="C12" s="4" t="inlineStr">
        <is>
          <t>Admin Requests list with filters</t>
        </is>
      </c>
      <c r="D12" s="4" t="inlineStr">
        <is>
          <t>Admin sees all requests; filters by status + priority; live updates.</t>
        </is>
      </c>
      <c r="E12" t="inlineStr">
        <is>
          <t>Bew</t>
        </is>
      </c>
      <c r="F12" t="inlineStr">
        <is>
          <t>Must</t>
        </is>
      </c>
      <c r="G12" t="n">
        <v>1</v>
      </c>
      <c r="H12" t="n">
        <v>3</v>
      </c>
      <c r="I12" t="n">
        <v>3</v>
      </c>
      <c r="J12" t="n">
        <v>3</v>
      </c>
      <c r="K12" t="n">
        <v>5</v>
      </c>
      <c r="L12" t="n">
        <v>3</v>
      </c>
      <c r="M12">
        <f>MIN(H12:L12)</f>
        <v/>
      </c>
      <c r="N12">
        <f>MEDIAN(H12:L12)</f>
        <v/>
      </c>
      <c r="O12">
        <f>MAX(H12:L12)</f>
        <v/>
      </c>
      <c r="P12">
        <f>O12-M12</f>
        <v/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>
        <f>MIN(Q12:U12)</f>
        <v/>
      </c>
      <c r="W12">
        <f>MEDIAN(Q12:U12)</f>
        <v/>
      </c>
      <c r="X12">
        <f>MAX(Q12:U12)</f>
        <v/>
      </c>
      <c r="Y12">
        <f>X12-V12</f>
        <v/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>
        <f>MIN(Z12:AD12)</f>
        <v/>
      </c>
      <c r="AF12">
        <f>MEDIAN(Z12:AD12)</f>
        <v/>
      </c>
      <c r="AG12">
        <f>MAX(Z12:AD12)</f>
        <v/>
      </c>
      <c r="AH12">
        <f>AG12-AE12</f>
        <v/>
      </c>
      <c r="AI12">
        <f>AF12</f>
        <v/>
      </c>
      <c r="AJ12" t="inlineStr"/>
    </row>
    <row r="13">
      <c r="A13" t="inlineStr">
        <is>
          <t>US-11</t>
        </is>
      </c>
      <c r="B13" t="inlineStr">
        <is>
          <t>Request</t>
        </is>
      </c>
      <c r="C13" s="4" t="inlineStr">
        <is>
          <t>Admin Request Manage: approve/reject + drone picker</t>
        </is>
      </c>
      <c r="D13" s="4" t="inlineStr">
        <is>
          <t>Admin views user profile + items; approves (stock decrement) or rejects with reason; drone picker filtered by payload + range.</t>
        </is>
      </c>
      <c r="E13" t="inlineStr">
        <is>
          <t>Bew</t>
        </is>
      </c>
      <c r="F13" t="inlineStr">
        <is>
          <t>Must</t>
        </is>
      </c>
      <c r="G13" t="n">
        <v>1</v>
      </c>
      <c r="H13" t="n">
        <v>8</v>
      </c>
      <c r="I13" t="n">
        <v>5</v>
      </c>
      <c r="J13" t="n">
        <v>5</v>
      </c>
      <c r="K13" t="n">
        <v>5</v>
      </c>
      <c r="L13" t="n">
        <v>8</v>
      </c>
      <c r="M13">
        <f>MIN(H13:L13)</f>
        <v/>
      </c>
      <c r="N13">
        <f>MEDIAN(H13:L13)</f>
        <v/>
      </c>
      <c r="O13">
        <f>MAX(H13:L13)</f>
        <v/>
      </c>
      <c r="P13">
        <f>O13-M13</f>
        <v/>
      </c>
      <c r="Q13" t="n">
        <v>5</v>
      </c>
      <c r="R13" t="n">
        <v>5</v>
      </c>
      <c r="S13" t="n">
        <v>5</v>
      </c>
      <c r="T13" t="n">
        <v>8</v>
      </c>
      <c r="U13" t="n">
        <v>5</v>
      </c>
      <c r="V13">
        <f>MIN(Q13:U13)</f>
        <v/>
      </c>
      <c r="W13">
        <f>MEDIAN(Q13:U13)</f>
        <v/>
      </c>
      <c r="X13">
        <f>MAX(Q13:U13)</f>
        <v/>
      </c>
      <c r="Y13">
        <f>X13-V13</f>
        <v/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>
        <f>MIN(Z13:AD13)</f>
        <v/>
      </c>
      <c r="AF13">
        <f>MEDIAN(Z13:AD13)</f>
        <v/>
      </c>
      <c r="AG13">
        <f>MAX(Z13:AD13)</f>
        <v/>
      </c>
      <c r="AH13">
        <f>AG13-AE13</f>
        <v/>
      </c>
      <c r="AI13">
        <f>AF13</f>
        <v/>
      </c>
      <c r="AJ13" t="inlineStr"/>
    </row>
    <row r="14">
      <c r="A14" t="inlineStr">
        <is>
          <t>US-12</t>
        </is>
      </c>
      <c r="B14" t="inlineStr">
        <is>
          <t>Catalog</t>
        </is>
      </c>
      <c r="C14" s="4" t="inlineStr">
        <is>
          <t>Admin Inventory + restock</t>
        </is>
      </c>
      <c r="D14" s="4" t="inlineStr">
        <is>
          <t>Admin sees per-item stock; restocks via callable; deactivates items.</t>
        </is>
      </c>
      <c r="E14" t="inlineStr">
        <is>
          <t>Bew</t>
        </is>
      </c>
      <c r="F14" t="inlineStr">
        <is>
          <t>Should</t>
        </is>
      </c>
      <c r="G14" t="n">
        <v>2</v>
      </c>
      <c r="H14" t="n">
        <v>3</v>
      </c>
      <c r="I14" t="n">
        <v>3</v>
      </c>
      <c r="J14" t="n">
        <v>3</v>
      </c>
      <c r="K14" t="n">
        <v>5</v>
      </c>
      <c r="L14" t="n">
        <v>3</v>
      </c>
      <c r="M14">
        <f>MIN(H14:L14)</f>
        <v/>
      </c>
      <c r="N14">
        <f>MEDIAN(H14:L14)</f>
        <v/>
      </c>
      <c r="O14">
        <f>MAX(H14:L14)</f>
        <v/>
      </c>
      <c r="P14">
        <f>O14-M14</f>
        <v/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>
        <f>MIN(Q14:U14)</f>
        <v/>
      </c>
      <c r="W14">
        <f>MEDIAN(Q14:U14)</f>
        <v/>
      </c>
      <c r="X14">
        <f>MAX(Q14:U14)</f>
        <v/>
      </c>
      <c r="Y14">
        <f>X14-V14</f>
        <v/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>
        <f>MIN(Z14:AD14)</f>
        <v/>
      </c>
      <c r="AF14">
        <f>MEDIAN(Z14:AD14)</f>
        <v/>
      </c>
      <c r="AG14">
        <f>MAX(Z14:AD14)</f>
        <v/>
      </c>
      <c r="AH14">
        <f>AG14-AE14</f>
        <v/>
      </c>
      <c r="AI14">
        <f>AF14</f>
        <v/>
      </c>
      <c r="AJ14" t="inlineStr"/>
    </row>
    <row r="15">
      <c r="A15" t="inlineStr">
        <is>
          <t>US-13</t>
        </is>
      </c>
      <c r="B15" t="inlineStr">
        <is>
          <t>Fleet</t>
        </is>
      </c>
      <c r="C15" s="4" t="inlineStr">
        <is>
          <t>Admin Drone list</t>
        </is>
      </c>
      <c r="D15" s="4" t="inlineStr">
        <is>
          <t>All drones incl. offline + maintenance; status chip + battery bar.</t>
        </is>
      </c>
      <c r="E15" t="inlineStr">
        <is>
          <t>Tawan</t>
        </is>
      </c>
      <c r="F15" t="inlineStr">
        <is>
          <t>Must</t>
        </is>
      </c>
      <c r="G15" t="n">
        <v>1</v>
      </c>
      <c r="H15" t="n">
        <v>3</v>
      </c>
      <c r="I15" t="n">
        <v>2</v>
      </c>
      <c r="J15" t="n">
        <v>3</v>
      </c>
      <c r="K15" t="n">
        <v>3</v>
      </c>
      <c r="L15" t="n">
        <v>2</v>
      </c>
      <c r="M15">
        <f>MIN(H15:L15)</f>
        <v/>
      </c>
      <c r="N15">
        <f>MEDIAN(H15:L15)</f>
        <v/>
      </c>
      <c r="O15">
        <f>MAX(H15:L15)</f>
        <v/>
      </c>
      <c r="P15">
        <f>O15-M15</f>
        <v/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>
        <f>MIN(Q15:U15)</f>
        <v/>
      </c>
      <c r="W15">
        <f>MEDIAN(Q15:U15)</f>
        <v/>
      </c>
      <c r="X15">
        <f>MAX(Q15:U15)</f>
        <v/>
      </c>
      <c r="Y15">
        <f>X15-V15</f>
        <v/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>
        <f>MIN(Z15:AD15)</f>
        <v/>
      </c>
      <c r="AF15">
        <f>MEDIAN(Z15:AD15)</f>
        <v/>
      </c>
      <c r="AG15">
        <f>MAX(Z15:AD15)</f>
        <v/>
      </c>
      <c r="AH15">
        <f>AG15-AE15</f>
        <v/>
      </c>
      <c r="AI15">
        <f>AF15</f>
        <v/>
      </c>
      <c r="AJ15" t="inlineStr"/>
    </row>
    <row r="16">
      <c r="A16" t="inlineStr">
        <is>
          <t>US-14</t>
        </is>
      </c>
      <c r="B16" t="inlineStr">
        <is>
          <t>Fleet</t>
        </is>
      </c>
      <c r="C16" s="4" t="inlineStr">
        <is>
          <t>Admin Drone detail + future queue</t>
        </is>
      </c>
      <c r="D16" s="4" t="inlineStr">
        <is>
          <t>Drone status, battery, current flight, planned future flights, maintenance toggle.</t>
        </is>
      </c>
      <c r="E16" t="inlineStr">
        <is>
          <t>Tawan</t>
        </is>
      </c>
      <c r="F16" t="inlineStr">
        <is>
          <t>Must</t>
        </is>
      </c>
      <c r="G16" t="n">
        <v>1</v>
      </c>
      <c r="H16" t="n">
        <v>5</v>
      </c>
      <c r="I16" t="n">
        <v>5</v>
      </c>
      <c r="J16" t="n">
        <v>8</v>
      </c>
      <c r="K16" t="n">
        <v>5</v>
      </c>
      <c r="L16" t="n">
        <v>5</v>
      </c>
      <c r="M16">
        <f>MIN(H16:L16)</f>
        <v/>
      </c>
      <c r="N16">
        <f>MEDIAN(H16:L16)</f>
        <v/>
      </c>
      <c r="O16">
        <f>MAX(H16:L16)</f>
        <v/>
      </c>
      <c r="P16">
        <f>O16-M16</f>
        <v/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>
        <f>MIN(Q16:U16)</f>
        <v/>
      </c>
      <c r="W16">
        <f>MEDIAN(Q16:U16)</f>
        <v/>
      </c>
      <c r="X16">
        <f>MAX(Q16:U16)</f>
        <v/>
      </c>
      <c r="Y16">
        <f>X16-V16</f>
        <v/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>
        <f>MIN(Z16:AD16)</f>
        <v/>
      </c>
      <c r="AF16">
        <f>MEDIAN(Z16:AD16)</f>
        <v/>
      </c>
      <c r="AG16">
        <f>MAX(Z16:AD16)</f>
        <v/>
      </c>
      <c r="AH16">
        <f>AG16-AE16</f>
        <v/>
      </c>
      <c r="AI16">
        <f>AF16</f>
        <v/>
      </c>
      <c r="AJ16" t="inlineStr"/>
    </row>
    <row r="17">
      <c r="A17" t="inlineStr">
        <is>
          <t>US-15</t>
        </is>
      </c>
      <c r="B17" t="inlineStr">
        <is>
          <t>Fleet</t>
        </is>
      </c>
      <c r="C17" s="4" t="inlineStr">
        <is>
          <t>Admin Weather panel</t>
        </is>
      </c>
      <c r="D17" s="4" t="inlineStr">
        <is>
          <t>Admin sets global weather to clear/wind/storm via callable; setting drives sim.</t>
        </is>
      </c>
      <c r="E17" t="inlineStr">
        <is>
          <t>Tawan</t>
        </is>
      </c>
      <c r="F17" t="inlineStr">
        <is>
          <t>Must</t>
        </is>
      </c>
      <c r="G17" t="n">
        <v>1</v>
      </c>
      <c r="H17" t="n">
        <v>2</v>
      </c>
      <c r="I17" t="n">
        <v>3</v>
      </c>
      <c r="J17" t="n">
        <v>2</v>
      </c>
      <c r="K17" t="n">
        <v>2</v>
      </c>
      <c r="L17" t="n">
        <v>3</v>
      </c>
      <c r="M17">
        <f>MIN(H17:L17)</f>
        <v/>
      </c>
      <c r="N17">
        <f>MEDIAN(H17:L17)</f>
        <v/>
      </c>
      <c r="O17">
        <f>MAX(H17:L17)</f>
        <v/>
      </c>
      <c r="P17">
        <f>O17-M17</f>
        <v/>
      </c>
      <c r="Q17" t="n">
        <v>2</v>
      </c>
      <c r="R17" t="n">
        <v>2</v>
      </c>
      <c r="S17" t="n">
        <v>2</v>
      </c>
      <c r="T17" t="n">
        <v>2</v>
      </c>
      <c r="U17" t="n">
        <v>3</v>
      </c>
      <c r="V17">
        <f>MIN(Q17:U17)</f>
        <v/>
      </c>
      <c r="W17">
        <f>MEDIAN(Q17:U17)</f>
        <v/>
      </c>
      <c r="X17">
        <f>MAX(Q17:U17)</f>
        <v/>
      </c>
      <c r="Y17">
        <f>X17-V17</f>
        <v/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>
        <f>MIN(Z17:AD17)</f>
        <v/>
      </c>
      <c r="AF17">
        <f>MEDIAN(Z17:AD17)</f>
        <v/>
      </c>
      <c r="AG17">
        <f>MAX(Z17:AD17)</f>
        <v/>
      </c>
      <c r="AH17">
        <f>AG17-AE17</f>
        <v/>
      </c>
      <c r="AI17">
        <f>AF17</f>
        <v/>
      </c>
      <c r="AJ17" t="inlineStr"/>
    </row>
    <row r="18">
      <c r="A18" t="inlineStr">
        <is>
          <t>US-16</t>
        </is>
      </c>
      <c r="B18" t="inlineStr">
        <is>
          <t>Tracking</t>
        </is>
      </c>
      <c r="C18" s="4" t="inlineStr">
        <is>
          <t>Tracking page with live map + interpolation</t>
        </is>
      </c>
      <c r="D18" s="4" t="inlineStr">
        <is>
          <t>flutter_map renders origin/dest/drone marker; position computed client-side every frame from flight plan.</t>
        </is>
      </c>
      <c r="E18" t="inlineStr">
        <is>
          <t>Poom</t>
        </is>
      </c>
      <c r="F18" t="inlineStr">
        <is>
          <t>Must</t>
        </is>
      </c>
      <c r="G18" t="n">
        <v>1</v>
      </c>
      <c r="H18" t="n">
        <v>8</v>
      </c>
      <c r="I18" t="n">
        <v>13</v>
      </c>
      <c r="J18" t="n">
        <v>8</v>
      </c>
      <c r="K18" t="n">
        <v>8</v>
      </c>
      <c r="L18" t="n">
        <v>13</v>
      </c>
      <c r="M18">
        <f>MIN(H18:L18)</f>
        <v/>
      </c>
      <c r="N18">
        <f>MEDIAN(H18:L18)</f>
        <v/>
      </c>
      <c r="O18">
        <f>MAX(H18:L18)</f>
        <v/>
      </c>
      <c r="P18">
        <f>O18-M18</f>
        <v/>
      </c>
      <c r="Q18" t="n">
        <v>8</v>
      </c>
      <c r="R18" t="n">
        <v>8</v>
      </c>
      <c r="S18" t="n">
        <v>8</v>
      </c>
      <c r="T18" t="n">
        <v>13</v>
      </c>
      <c r="U18" t="n">
        <v>8</v>
      </c>
      <c r="V18">
        <f>MIN(Q18:U18)</f>
        <v/>
      </c>
      <c r="W18">
        <f>MEDIAN(Q18:U18)</f>
        <v/>
      </c>
      <c r="X18">
        <f>MAX(Q18:U18)</f>
        <v/>
      </c>
      <c r="Y18">
        <f>X18-V18</f>
        <v/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>
        <f>MIN(Z18:AD18)</f>
        <v/>
      </c>
      <c r="AF18">
        <f>MEDIAN(Z18:AD18)</f>
        <v/>
      </c>
      <c r="AG18">
        <f>MAX(Z18:AD18)</f>
        <v/>
      </c>
      <c r="AH18">
        <f>AG18-AE18</f>
        <v/>
      </c>
      <c r="AI18">
        <f>AF18</f>
        <v/>
      </c>
      <c r="AJ18" t="inlineStr"/>
    </row>
    <row r="19">
      <c r="A19" t="inlineStr">
        <is>
          <t>US-17</t>
        </is>
      </c>
      <c r="B19" t="inlineStr">
        <is>
          <t>Tracking</t>
        </is>
      </c>
      <c r="C19" s="4" t="inlineStr">
        <is>
          <t>Confirm page + confirmDelivery wiring</t>
        </is>
      </c>
      <c r="D19" s="4" t="inlineStr">
        <is>
          <t>Banner shown when status=delivered; tap calls callable; UI updates immediately.</t>
        </is>
      </c>
      <c r="E19" t="inlineStr">
        <is>
          <t>Poom</t>
        </is>
      </c>
      <c r="F19" t="inlineStr">
        <is>
          <t>Must</t>
        </is>
      </c>
      <c r="G19" t="n">
        <v>1</v>
      </c>
      <c r="H19" t="n">
        <v>2</v>
      </c>
      <c r="I19" t="n">
        <v>3</v>
      </c>
      <c r="J19" t="n">
        <v>2</v>
      </c>
      <c r="K19" t="n">
        <v>3</v>
      </c>
      <c r="L19" t="n">
        <v>2</v>
      </c>
      <c r="M19">
        <f>MIN(H19:L19)</f>
        <v/>
      </c>
      <c r="N19">
        <f>MEDIAN(H19:L19)</f>
        <v/>
      </c>
      <c r="O19">
        <f>MAX(H19:L19)</f>
        <v/>
      </c>
      <c r="P19">
        <f>O19-M19</f>
        <v/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>
        <f>MIN(Q19:U19)</f>
        <v/>
      </c>
      <c r="W19">
        <f>MEDIAN(Q19:U19)</f>
        <v/>
      </c>
      <c r="X19">
        <f>MAX(Q19:U19)</f>
        <v/>
      </c>
      <c r="Y19">
        <f>X19-V19</f>
        <v/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>
        <f>MIN(Z19:AD19)</f>
        <v/>
      </c>
      <c r="AF19">
        <f>MEDIAN(Z19:AD19)</f>
        <v/>
      </c>
      <c r="AG19">
        <f>MAX(Z19:AD19)</f>
        <v/>
      </c>
      <c r="AH19">
        <f>AG19-AE19</f>
        <v/>
      </c>
      <c r="AI19">
        <f>AF19</f>
        <v/>
      </c>
      <c r="AJ19" t="inlineStr"/>
    </row>
    <row r="20">
      <c r="A20" t="inlineStr">
        <is>
          <t>US-18</t>
        </is>
      </c>
      <c r="B20" t="inlineStr">
        <is>
          <t>Tracking</t>
        </is>
      </c>
      <c r="C20" s="4" t="inlineStr">
        <is>
          <t>Notifications inbox + FCM device registration</t>
        </is>
      </c>
      <c r="D20" s="4" t="inlineStr">
        <is>
          <t>FCM token registered to users doc; inbox shows historic events from subcollection; tap-through navigates.</t>
        </is>
      </c>
      <c r="E20" t="inlineStr">
        <is>
          <t>Poom</t>
        </is>
      </c>
      <c r="F20" t="inlineStr">
        <is>
          <t>Must</t>
        </is>
      </c>
      <c r="G20" t="n">
        <v>1</v>
      </c>
      <c r="H20" t="n">
        <v>5</v>
      </c>
      <c r="I20" t="n">
        <v>5</v>
      </c>
      <c r="J20" t="n">
        <v>5</v>
      </c>
      <c r="K20" t="n">
        <v>8</v>
      </c>
      <c r="L20" t="n">
        <v>5</v>
      </c>
      <c r="M20">
        <f>MIN(H20:L20)</f>
        <v/>
      </c>
      <c r="N20">
        <f>MEDIAN(H20:L20)</f>
        <v/>
      </c>
      <c r="O20">
        <f>MAX(H20:L20)</f>
        <v/>
      </c>
      <c r="P20">
        <f>O20-M20</f>
        <v/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>
        <f>MIN(Q20:U20)</f>
        <v/>
      </c>
      <c r="W20">
        <f>MEDIAN(Q20:U20)</f>
        <v/>
      </c>
      <c r="X20">
        <f>MAX(Q20:U20)</f>
        <v/>
      </c>
      <c r="Y20">
        <f>X20-V20</f>
        <v/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>
        <f>MIN(Z20:AD20)</f>
        <v/>
      </c>
      <c r="AF20">
        <f>MEDIAN(Z20:AD20)</f>
        <v/>
      </c>
      <c r="AG20">
        <f>MAX(Z20:AD20)</f>
        <v/>
      </c>
      <c r="AH20">
        <f>AG20-AE20</f>
        <v/>
      </c>
      <c r="AI20">
        <f>AF20</f>
        <v/>
      </c>
      <c r="AJ20" t="inlineStr"/>
    </row>
    <row r="21">
      <c r="A21" t="inlineStr">
        <is>
          <t>US-19</t>
        </is>
      </c>
      <c r="B21" t="inlineStr">
        <is>
          <t>Tracking</t>
        </is>
      </c>
      <c r="C21" s="4" t="inlineStr">
        <is>
          <t>Admin Control map (all active drones)</t>
        </is>
      </c>
      <c r="D21" s="4" t="inlineStr">
        <is>
          <t>Map of every flying drone; tap a marker to see flight + request info.</t>
        </is>
      </c>
      <c r="E21" t="inlineStr">
        <is>
          <t>Poom</t>
        </is>
      </c>
      <c r="F21" t="inlineStr">
        <is>
          <t>Must</t>
        </is>
      </c>
      <c r="G21" t="n">
        <v>1</v>
      </c>
      <c r="H21" t="n">
        <v>5</v>
      </c>
      <c r="I21" t="n">
        <v>5</v>
      </c>
      <c r="J21" t="n">
        <v>5</v>
      </c>
      <c r="K21" t="n">
        <v>8</v>
      </c>
      <c r="L21" t="n">
        <v>5</v>
      </c>
      <c r="M21">
        <f>MIN(H21:L21)</f>
        <v/>
      </c>
      <c r="N21">
        <f>MEDIAN(H21:L21)</f>
        <v/>
      </c>
      <c r="O21">
        <f>MAX(H21:L21)</f>
        <v/>
      </c>
      <c r="P21">
        <f>O21-M21</f>
        <v/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>
        <f>MIN(Q21:U21)</f>
        <v/>
      </c>
      <c r="W21">
        <f>MEDIAN(Q21:U21)</f>
        <v/>
      </c>
      <c r="X21">
        <f>MAX(Q21:U21)</f>
        <v/>
      </c>
      <c r="Y21">
        <f>X21-V21</f>
        <v/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>
        <f>MIN(Z21:AD21)</f>
        <v/>
      </c>
      <c r="AF21">
        <f>MEDIAN(Z21:AD21)</f>
        <v/>
      </c>
      <c r="AG21">
        <f>MAX(Z21:AD21)</f>
        <v/>
      </c>
      <c r="AH21">
        <f>AG21-AE21</f>
        <v/>
      </c>
      <c r="AI21">
        <f>AF21</f>
        <v/>
      </c>
      <c r="AJ21" t="inlineStr"/>
    </row>
    <row r="22">
      <c r="A22" t="inlineStr">
        <is>
          <t>US-20</t>
        </is>
      </c>
      <c r="B22" t="inlineStr">
        <is>
          <t>Backend</t>
        </is>
      </c>
      <c r="C22" s="4" t="inlineStr">
        <is>
          <t>Firebase project setup + emulator suite</t>
        </is>
      </c>
      <c r="D22" s="4" t="inlineStr">
        <is>
          <t>Project created, Flutter + Functions wired, emulator runs Auth/Firestore/Functions locally.</t>
        </is>
      </c>
      <c r="E22" t="inlineStr">
        <is>
          <t>Aok</t>
        </is>
      </c>
      <c r="F22" t="inlineStr">
        <is>
          <t>Must</t>
        </is>
      </c>
      <c r="G22" t="n">
        <v>1</v>
      </c>
      <c r="H22" t="n">
        <v>3</v>
      </c>
      <c r="I22" t="n">
        <v>5</v>
      </c>
      <c r="J22" t="n">
        <v>3</v>
      </c>
      <c r="K22" t="n">
        <v>3</v>
      </c>
      <c r="L22" t="n">
        <v>5</v>
      </c>
      <c r="M22">
        <f>MIN(H22:L22)</f>
        <v/>
      </c>
      <c r="N22">
        <f>MEDIAN(H22:L22)</f>
        <v/>
      </c>
      <c r="O22">
        <f>MAX(H22:L22)</f>
        <v/>
      </c>
      <c r="P22">
        <f>O22-M22</f>
        <v/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>
        <f>MIN(Q22:U22)</f>
        <v/>
      </c>
      <c r="W22">
        <f>MEDIAN(Q22:U22)</f>
        <v/>
      </c>
      <c r="X22">
        <f>MAX(Q22:U22)</f>
        <v/>
      </c>
      <c r="Y22">
        <f>X22-V22</f>
        <v/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>
        <f>MIN(Z22:AD22)</f>
        <v/>
      </c>
      <c r="AF22">
        <f>MEDIAN(Z22:AD22)</f>
        <v/>
      </c>
      <c r="AG22">
        <f>MAX(Z22:AD22)</f>
        <v/>
      </c>
      <c r="AH22">
        <f>AG22-AE22</f>
        <v/>
      </c>
      <c r="AI22">
        <f>AF22</f>
        <v/>
      </c>
      <c r="AJ22" t="inlineStr"/>
    </row>
    <row r="23">
      <c r="A23" t="inlineStr">
        <is>
          <t>US-21</t>
        </is>
      </c>
      <c r="B23" t="inlineStr">
        <is>
          <t>Backend</t>
        </is>
      </c>
      <c r="C23" s="4" t="inlineStr">
        <is>
          <t>Firestore rules + indexes + rules unit tests</t>
        </is>
      </c>
      <c r="D23" s="4" t="inlineStr">
        <is>
          <t>All collections have rules per spec §9; rules unit tests cover owner/admin/deny paths.</t>
        </is>
      </c>
      <c r="E23" t="inlineStr">
        <is>
          <t>Aok</t>
        </is>
      </c>
      <c r="F23" t="inlineStr">
        <is>
          <t>Must</t>
        </is>
      </c>
      <c r="G23" t="n">
        <v>1</v>
      </c>
      <c r="H23" t="n">
        <v>5</v>
      </c>
      <c r="I23" t="n">
        <v>8</v>
      </c>
      <c r="J23" t="n">
        <v>5</v>
      </c>
      <c r="K23" t="n">
        <v>5</v>
      </c>
      <c r="L23" t="n">
        <v>5</v>
      </c>
      <c r="M23">
        <f>MIN(H23:L23)</f>
        <v/>
      </c>
      <c r="N23">
        <f>MEDIAN(H23:L23)</f>
        <v/>
      </c>
      <c r="O23">
        <f>MAX(H23:L23)</f>
        <v/>
      </c>
      <c r="P23">
        <f>O23-M23</f>
        <v/>
      </c>
      <c r="Q23" t="n">
        <v>5</v>
      </c>
      <c r="R23" t="n">
        <v>5</v>
      </c>
      <c r="S23" t="n">
        <v>5</v>
      </c>
      <c r="T23" t="n">
        <v>8</v>
      </c>
      <c r="U23" t="n">
        <v>5</v>
      </c>
      <c r="V23">
        <f>MIN(Q23:U23)</f>
        <v/>
      </c>
      <c r="W23">
        <f>MEDIAN(Q23:U23)</f>
        <v/>
      </c>
      <c r="X23">
        <f>MAX(Q23:U23)</f>
        <v/>
      </c>
      <c r="Y23">
        <f>X23-V23</f>
        <v/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>
        <f>MIN(Z23:AD23)</f>
        <v/>
      </c>
      <c r="AF23">
        <f>MEDIAN(Z23:AD23)</f>
        <v/>
      </c>
      <c r="AG23">
        <f>MAX(Z23:AD23)</f>
        <v/>
      </c>
      <c r="AH23">
        <f>AG23-AE23</f>
        <v/>
      </c>
      <c r="AI23">
        <f>AF23</f>
        <v/>
      </c>
      <c r="AJ23" t="inlineStr"/>
    </row>
    <row r="24">
      <c r="A24" t="inlineStr">
        <is>
          <t>US-22</t>
        </is>
      </c>
      <c r="B24" t="inlineStr">
        <is>
          <t>Backend</t>
        </is>
      </c>
      <c r="C24" s="4" t="inlineStr">
        <is>
          <t>onUserCreated trigger</t>
        </is>
      </c>
      <c r="D24" s="4" t="inlineStr">
        <is>
          <t>Auth trigger writes users/{uid} with role=user, blank fcmTokens, defaults.</t>
        </is>
      </c>
      <c r="E24" t="inlineStr">
        <is>
          <t>Aok</t>
        </is>
      </c>
      <c r="F24" t="inlineStr">
        <is>
          <t>Must</t>
        </is>
      </c>
      <c r="G24" t="n">
        <v>1</v>
      </c>
      <c r="H24" t="n">
        <v>1</v>
      </c>
      <c r="I24" t="n">
        <v>2</v>
      </c>
      <c r="J24" t="n">
        <v>1</v>
      </c>
      <c r="K24" t="n">
        <v>2</v>
      </c>
      <c r="L24" t="n">
        <v>1</v>
      </c>
      <c r="M24">
        <f>MIN(H24:L24)</f>
        <v/>
      </c>
      <c r="N24">
        <f>MEDIAN(H24:L24)</f>
        <v/>
      </c>
      <c r="O24">
        <f>MAX(H24:L24)</f>
        <v/>
      </c>
      <c r="P24">
        <f>O24-M24</f>
        <v/>
      </c>
      <c r="Q24" t="n">
        <v>1</v>
      </c>
      <c r="R24" t="n">
        <v>1</v>
      </c>
      <c r="S24" t="n">
        <v>1</v>
      </c>
      <c r="T24" t="n">
        <v>2</v>
      </c>
      <c r="U24" t="n">
        <v>1</v>
      </c>
      <c r="V24">
        <f>MIN(Q24:U24)</f>
        <v/>
      </c>
      <c r="W24">
        <f>MEDIAN(Q24:U24)</f>
        <v/>
      </c>
      <c r="X24">
        <f>MAX(Q24:U24)</f>
        <v/>
      </c>
      <c r="Y24">
        <f>X24-V24</f>
        <v/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>
        <f>MIN(Z24:AD24)</f>
        <v/>
      </c>
      <c r="AF24">
        <f>MEDIAN(Z24:AD24)</f>
        <v/>
      </c>
      <c r="AG24">
        <f>MAX(Z24:AD24)</f>
        <v/>
      </c>
      <c r="AH24">
        <f>AG24-AE24</f>
        <v/>
      </c>
      <c r="AI24">
        <f>AF24</f>
        <v/>
      </c>
      <c r="AJ24" t="inlineStr"/>
    </row>
    <row r="25">
      <c r="A25" t="inlineStr">
        <is>
          <t>US-23</t>
        </is>
      </c>
      <c r="B25" t="inlineStr">
        <is>
          <t>Backend</t>
        </is>
      </c>
      <c r="C25" s="4" t="inlineStr">
        <is>
          <t>submitRequest callable</t>
        </is>
      </c>
      <c r="D25" s="4" t="inlineStr">
        <is>
          <t>Validates payload, weight, stock; creates requests doc; returns reqId; FCM-notifies admins.</t>
        </is>
      </c>
      <c r="E25" t="inlineStr">
        <is>
          <t>Aok</t>
        </is>
      </c>
      <c r="F25" t="inlineStr">
        <is>
          <t>Must</t>
        </is>
      </c>
      <c r="G25" t="n">
        <v>1</v>
      </c>
      <c r="H25" t="n">
        <v>3</v>
      </c>
      <c r="I25" t="n">
        <v>3</v>
      </c>
      <c r="J25" t="n">
        <v>3</v>
      </c>
      <c r="K25" t="n">
        <v>5</v>
      </c>
      <c r="L25" t="n">
        <v>3</v>
      </c>
      <c r="M25">
        <f>MIN(H25:L25)</f>
        <v/>
      </c>
      <c r="N25">
        <f>MEDIAN(H25:L25)</f>
        <v/>
      </c>
      <c r="O25">
        <f>MAX(H25:L25)</f>
        <v/>
      </c>
      <c r="P25">
        <f>O25-M25</f>
        <v/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>
        <f>MIN(Q25:U25)</f>
        <v/>
      </c>
      <c r="W25">
        <f>MEDIAN(Q25:U25)</f>
        <v/>
      </c>
      <c r="X25">
        <f>MAX(Q25:U25)</f>
        <v/>
      </c>
      <c r="Y25">
        <f>X25-V25</f>
        <v/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>
        <f>MIN(Z25:AD25)</f>
        <v/>
      </c>
      <c r="AF25">
        <f>MEDIAN(Z25:AD25)</f>
        <v/>
      </c>
      <c r="AG25">
        <f>MAX(Z25:AD25)</f>
        <v/>
      </c>
      <c r="AH25">
        <f>AG25-AE25</f>
        <v/>
      </c>
      <c r="AI25">
        <f>AF25</f>
        <v/>
      </c>
      <c r="AJ25" t="inlineStr"/>
    </row>
    <row r="26">
      <c r="A26" t="inlineStr">
        <is>
          <t>US-24</t>
        </is>
      </c>
      <c r="B26" t="inlineStr">
        <is>
          <t>Backend</t>
        </is>
      </c>
      <c r="C26" s="4" t="inlineStr">
        <is>
          <t>approveRequest + rejectRequest callables</t>
        </is>
      </c>
      <c r="D26" s="4" t="inlineStr">
        <is>
          <t>approveRequest does tx: stock decrement + status change + return eligible drones. rejectRequest stores reason.</t>
        </is>
      </c>
      <c r="E26" t="inlineStr">
        <is>
          <t>Aok</t>
        </is>
      </c>
      <c r="F26" t="inlineStr">
        <is>
          <t>Must</t>
        </is>
      </c>
      <c r="G26" t="n">
        <v>1</v>
      </c>
      <c r="H26" t="n">
        <v>5</v>
      </c>
      <c r="I26" t="n">
        <v>5</v>
      </c>
      <c r="J26" t="n">
        <v>5</v>
      </c>
      <c r="K26" t="n">
        <v>3</v>
      </c>
      <c r="L26" t="n">
        <v>5</v>
      </c>
      <c r="M26">
        <f>MIN(H26:L26)</f>
        <v/>
      </c>
      <c r="N26">
        <f>MEDIAN(H26:L26)</f>
        <v/>
      </c>
      <c r="O26">
        <f>MAX(H26:L26)</f>
        <v/>
      </c>
      <c r="P26">
        <f>O26-M26</f>
        <v/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>
        <f>MIN(Q26:U26)</f>
        <v/>
      </c>
      <c r="W26">
        <f>MEDIAN(Q26:U26)</f>
        <v/>
      </c>
      <c r="X26">
        <f>MAX(Q26:U26)</f>
        <v/>
      </c>
      <c r="Y26">
        <f>X26-V26</f>
        <v/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>
        <f>MIN(Z26:AD26)</f>
        <v/>
      </c>
      <c r="AF26">
        <f>MEDIAN(Z26:AD26)</f>
        <v/>
      </c>
      <c r="AG26">
        <f>MAX(Z26:AD26)</f>
        <v/>
      </c>
      <c r="AH26">
        <f>AG26-AE26</f>
        <v/>
      </c>
      <c r="AI26">
        <f>AF26</f>
        <v/>
      </c>
      <c r="AJ26" t="inlineStr"/>
    </row>
    <row r="27">
      <c r="A27" t="inlineStr">
        <is>
          <t>US-25</t>
        </is>
      </c>
      <c r="B27" t="inlineStr">
        <is>
          <t>Backend</t>
        </is>
      </c>
      <c r="C27" s="4" t="inlineStr">
        <is>
          <t>assignDrone + cancelRequest callables</t>
        </is>
      </c>
      <c r="D27" s="4" t="inlineStr">
        <is>
          <t>assignDrone creates flight, mutates drone + request statuses in tx. cancelRequest only when pending.</t>
        </is>
      </c>
      <c r="E27" t="inlineStr">
        <is>
          <t>Aok</t>
        </is>
      </c>
      <c r="F27" t="inlineStr">
        <is>
          <t>Must</t>
        </is>
      </c>
      <c r="G27" t="n">
        <v>1</v>
      </c>
      <c r="H27" t="n">
        <v>5</v>
      </c>
      <c r="I27" t="n">
        <v>3</v>
      </c>
      <c r="J27" t="n">
        <v>5</v>
      </c>
      <c r="K27" t="n">
        <v>5</v>
      </c>
      <c r="L27" t="n">
        <v>5</v>
      </c>
      <c r="M27">
        <f>MIN(H27:L27)</f>
        <v/>
      </c>
      <c r="N27">
        <f>MEDIAN(H27:L27)</f>
        <v/>
      </c>
      <c r="O27">
        <f>MAX(H27:L27)</f>
        <v/>
      </c>
      <c r="P27">
        <f>O27-M27</f>
        <v/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>
        <f>MIN(Q27:U27)</f>
        <v/>
      </c>
      <c r="W27">
        <f>MEDIAN(Q27:U27)</f>
        <v/>
      </c>
      <c r="X27">
        <f>MAX(Q27:U27)</f>
        <v/>
      </c>
      <c r="Y27">
        <f>X27-V27</f>
        <v/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>
        <f>MIN(Z27:AD27)</f>
        <v/>
      </c>
      <c r="AF27">
        <f>MEDIAN(Z27:AD27)</f>
        <v/>
      </c>
      <c r="AG27">
        <f>MAX(Z27:AD27)</f>
        <v/>
      </c>
      <c r="AH27">
        <f>AG27-AE27</f>
        <v/>
      </c>
      <c r="AI27">
        <f>AF27</f>
        <v/>
      </c>
      <c r="AJ27" t="inlineStr"/>
    </row>
    <row r="28">
      <c r="A28" t="inlineStr">
        <is>
          <t>US-26</t>
        </is>
      </c>
      <c r="B28" t="inlineStr">
        <is>
          <t>Backend</t>
        </is>
      </c>
      <c r="C28" s="4" t="inlineStr">
        <is>
          <t>tickFlights v0 (movement + transitions)</t>
        </is>
      </c>
      <c r="D28" s="4" t="inlineStr">
        <is>
          <t>Scheduled every 60s; advances enroute→delivering→completed→returning→idle.</t>
        </is>
      </c>
      <c r="E28" t="inlineStr">
        <is>
          <t>Aok</t>
        </is>
      </c>
      <c r="F28" t="inlineStr">
        <is>
          <t>Must</t>
        </is>
      </c>
      <c r="G28" t="n">
        <v>1</v>
      </c>
      <c r="H28" t="n">
        <v>8</v>
      </c>
      <c r="I28" t="n">
        <v>8</v>
      </c>
      <c r="J28" t="n">
        <v>5</v>
      </c>
      <c r="K28" t="n">
        <v>8</v>
      </c>
      <c r="L28" t="n">
        <v>8</v>
      </c>
      <c r="M28">
        <f>MIN(H28:L28)</f>
        <v/>
      </c>
      <c r="N28">
        <f>MEDIAN(H28:L28)</f>
        <v/>
      </c>
      <c r="O28">
        <f>MAX(H28:L28)</f>
        <v/>
      </c>
      <c r="P28">
        <f>O28-M28</f>
        <v/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>
        <f>MIN(Q28:U28)</f>
        <v/>
      </c>
      <c r="W28">
        <f>MEDIAN(Q28:U28)</f>
        <v/>
      </c>
      <c r="X28">
        <f>MAX(Q28:U28)</f>
        <v/>
      </c>
      <c r="Y28">
        <f>X28-V28</f>
        <v/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>
        <f>MIN(Z28:AD28)</f>
        <v/>
      </c>
      <c r="AF28">
        <f>MEDIAN(Z28:AD28)</f>
        <v/>
      </c>
      <c r="AG28">
        <f>MAX(Z28:AD28)</f>
        <v/>
      </c>
      <c r="AH28">
        <f>AG28-AE28</f>
        <v/>
      </c>
      <c r="AI28">
        <f>AF28</f>
        <v/>
      </c>
      <c r="AJ28" t="inlineStr"/>
    </row>
    <row r="29">
      <c r="A29" t="inlineStr">
        <is>
          <t>US-27</t>
        </is>
      </c>
      <c r="B29" t="inlineStr">
        <is>
          <t>Backend</t>
        </is>
      </c>
      <c r="C29" s="4" t="inlineStr">
        <is>
          <t>tickFlights failure dice (weather, battery, mech)</t>
        </is>
      </c>
      <c r="D29" s="4" t="inlineStr">
        <is>
          <t>Adds storm 20%, battery &lt;15%, mechanical 1% per tick; transitions to aborted/failed with type.</t>
        </is>
      </c>
      <c r="E29" t="inlineStr">
        <is>
          <t>Aok</t>
        </is>
      </c>
      <c r="F29" t="inlineStr">
        <is>
          <t>Must</t>
        </is>
      </c>
      <c r="G29" t="n">
        <v>1</v>
      </c>
      <c r="H29" t="n">
        <v>5</v>
      </c>
      <c r="I29" t="n">
        <v>5</v>
      </c>
      <c r="J29" t="n">
        <v>5</v>
      </c>
      <c r="K29" t="n">
        <v>5</v>
      </c>
      <c r="L29" t="n">
        <v>8</v>
      </c>
      <c r="M29">
        <f>MIN(H29:L29)</f>
        <v/>
      </c>
      <c r="N29">
        <f>MEDIAN(H29:L29)</f>
        <v/>
      </c>
      <c r="O29">
        <f>MAX(H29:L29)</f>
        <v/>
      </c>
      <c r="P29">
        <f>O29-M29</f>
        <v/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>
        <f>MIN(Q29:U29)</f>
        <v/>
      </c>
      <c r="W29">
        <f>MEDIAN(Q29:U29)</f>
        <v/>
      </c>
      <c r="X29">
        <f>MAX(Q29:U29)</f>
        <v/>
      </c>
      <c r="Y29">
        <f>X29-V29</f>
        <v/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>
        <f>MIN(Z29:AD29)</f>
        <v/>
      </c>
      <c r="AF29">
        <f>MEDIAN(Z29:AD29)</f>
        <v/>
      </c>
      <c r="AG29">
        <f>MAX(Z29:AD29)</f>
        <v/>
      </c>
      <c r="AH29">
        <f>AG29-AE29</f>
        <v/>
      </c>
      <c r="AI29">
        <f>AF29</f>
        <v/>
      </c>
      <c r="AJ29" t="inlineStr"/>
    </row>
    <row r="30">
      <c r="A30" t="inlineStr">
        <is>
          <t>US-28</t>
        </is>
      </c>
      <c r="B30" t="inlineStr">
        <is>
          <t>Backend</t>
        </is>
      </c>
      <c r="C30" s="4" t="inlineStr">
        <is>
          <t>confirmDelivery callable</t>
        </is>
      </c>
      <c r="D30" s="4" t="inlineStr">
        <is>
          <t>Marks request confirmed; transitions drone to returning; FCM notification.</t>
        </is>
      </c>
      <c r="E30" t="inlineStr">
        <is>
          <t>Aok</t>
        </is>
      </c>
      <c r="F30" t="inlineStr">
        <is>
          <t>Must</t>
        </is>
      </c>
      <c r="G30" t="n">
        <v>1</v>
      </c>
      <c r="H30" t="n">
        <v>2</v>
      </c>
      <c r="I30" t="n">
        <v>3</v>
      </c>
      <c r="J30" t="n">
        <v>2</v>
      </c>
      <c r="K30" t="n">
        <v>2</v>
      </c>
      <c r="L30" t="n">
        <v>3</v>
      </c>
      <c r="M30">
        <f>MIN(H30:L30)</f>
        <v/>
      </c>
      <c r="N30">
        <f>MEDIAN(H30:L30)</f>
        <v/>
      </c>
      <c r="O30">
        <f>MAX(H30:L30)</f>
        <v/>
      </c>
      <c r="P30">
        <f>O30-M30</f>
        <v/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>
        <f>MIN(Q30:U30)</f>
        <v/>
      </c>
      <c r="W30">
        <f>MEDIAN(Q30:U30)</f>
        <v/>
      </c>
      <c r="X30">
        <f>MAX(Q30:U30)</f>
        <v/>
      </c>
      <c r="Y30">
        <f>X30-V30</f>
        <v/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>
        <f>MIN(Z30:AD30)</f>
        <v/>
      </c>
      <c r="AF30">
        <f>MEDIAN(Z30:AD30)</f>
        <v/>
      </c>
      <c r="AG30">
        <f>MAX(Z30:AD30)</f>
        <v/>
      </c>
      <c r="AH30">
        <f>AG30-AE30</f>
        <v/>
      </c>
      <c r="AI30">
        <f>AF30</f>
        <v/>
      </c>
      <c r="AJ30" t="inlineStr"/>
    </row>
    <row r="31">
      <c r="A31" t="inlineStr">
        <is>
          <t>US-29</t>
        </is>
      </c>
      <c r="B31" t="inlineStr">
        <is>
          <t>Backend</t>
        </is>
      </c>
      <c r="C31" s="4" t="inlineStr">
        <is>
          <t>setWeather + restockItem + toggleDroneMaintenance callables</t>
        </is>
      </c>
      <c r="D31" s="4" t="inlineStr">
        <is>
          <t>Three admin-only callables for shared state changes.</t>
        </is>
      </c>
      <c r="E31" t="inlineStr">
        <is>
          <t>Aok</t>
        </is>
      </c>
      <c r="F31" t="inlineStr">
        <is>
          <t>Must</t>
        </is>
      </c>
      <c r="G31" t="n">
        <v>1</v>
      </c>
      <c r="H31" t="n">
        <v>3</v>
      </c>
      <c r="I31" t="n">
        <v>2</v>
      </c>
      <c r="J31" t="n">
        <v>3</v>
      </c>
      <c r="K31" t="n">
        <v>3</v>
      </c>
      <c r="L31" t="n">
        <v>2</v>
      </c>
      <c r="M31">
        <f>MIN(H31:L31)</f>
        <v/>
      </c>
      <c r="N31">
        <f>MEDIAN(H31:L31)</f>
        <v/>
      </c>
      <c r="O31">
        <f>MAX(H31:L31)</f>
        <v/>
      </c>
      <c r="P31">
        <f>O31-M31</f>
        <v/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>
        <f>MIN(Q31:U31)</f>
        <v/>
      </c>
      <c r="W31">
        <f>MEDIAN(Q31:U31)</f>
        <v/>
      </c>
      <c r="X31">
        <f>MAX(Q31:U31)</f>
        <v/>
      </c>
      <c r="Y31">
        <f>X31-V31</f>
        <v/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>
        <f>MIN(Z31:AD31)</f>
        <v/>
      </c>
      <c r="AF31">
        <f>MEDIAN(Z31:AD31)</f>
        <v/>
      </c>
      <c r="AG31">
        <f>MAX(Z31:AD31)</f>
        <v/>
      </c>
      <c r="AH31">
        <f>AG31-AE31</f>
        <v/>
      </c>
      <c r="AI31">
        <f>AF31</f>
        <v/>
      </c>
      <c r="AJ31" t="inlineStr"/>
    </row>
    <row r="32">
      <c r="A32" t="inlineStr">
        <is>
          <t>US-30</t>
        </is>
      </c>
      <c r="B32" t="inlineStr">
        <is>
          <t>Backend</t>
        </is>
      </c>
      <c r="C32" s="4" t="inlineStr">
        <is>
          <t>onFlightWritten trigger + FCM fan-out</t>
        </is>
      </c>
      <c r="D32" s="4" t="inlineStr">
        <is>
          <t>Firestore trigger detects state transitions; sends FCM to user + admins as appropriate.</t>
        </is>
      </c>
      <c r="E32" t="inlineStr">
        <is>
          <t>Aok</t>
        </is>
      </c>
      <c r="F32" t="inlineStr">
        <is>
          <t>Must</t>
        </is>
      </c>
      <c r="G32" t="n">
        <v>1</v>
      </c>
      <c r="H32" t="n">
        <v>3</v>
      </c>
      <c r="I32" t="n">
        <v>5</v>
      </c>
      <c r="J32" t="n">
        <v>3</v>
      </c>
      <c r="K32" t="n">
        <v>5</v>
      </c>
      <c r="L32" t="n">
        <v>3</v>
      </c>
      <c r="M32">
        <f>MIN(H32:L32)</f>
        <v/>
      </c>
      <c r="N32">
        <f>MEDIAN(H32:L32)</f>
        <v/>
      </c>
      <c r="O32">
        <f>MAX(H32:L32)</f>
        <v/>
      </c>
      <c r="P32">
        <f>O32-M32</f>
        <v/>
      </c>
      <c r="Q32" t="n">
        <v>3</v>
      </c>
      <c r="R32" t="n">
        <v>3</v>
      </c>
      <c r="S32" t="n">
        <v>3</v>
      </c>
      <c r="T32" t="n">
        <v>5</v>
      </c>
      <c r="U32" t="n">
        <v>3</v>
      </c>
      <c r="V32">
        <f>MIN(Q32:U32)</f>
        <v/>
      </c>
      <c r="W32">
        <f>MEDIAN(Q32:U32)</f>
        <v/>
      </c>
      <c r="X32">
        <f>MAX(Q32:U32)</f>
        <v/>
      </c>
      <c r="Y32">
        <f>X32-V32</f>
        <v/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>
        <f>MIN(Z32:AD32)</f>
        <v/>
      </c>
      <c r="AF32">
        <f>MEDIAN(Z32:AD32)</f>
        <v/>
      </c>
      <c r="AG32">
        <f>MAX(Z32:AD32)</f>
        <v/>
      </c>
      <c r="AH32">
        <f>AG32-AE32</f>
        <v/>
      </c>
      <c r="AI32">
        <f>AF32</f>
        <v/>
      </c>
      <c r="AJ32" t="inlineStr"/>
    </row>
    <row r="33">
      <c r="A33" t="inlineStr">
        <is>
          <t>US-31</t>
        </is>
      </c>
      <c r="B33" t="inlineStr">
        <is>
          <t>Backend</t>
        </is>
      </c>
      <c r="C33" s="4" t="inlineStr">
        <is>
          <t>Seed scripts (catalog, drones, admins, demo users)</t>
        </is>
      </c>
      <c r="D33" s="4" t="inlineStr">
        <is>
          <t>Idempotent npm scripts populate Firestore for demo.</t>
        </is>
      </c>
      <c r="E33" t="inlineStr">
        <is>
          <t>Aok</t>
        </is>
      </c>
      <c r="F33" t="inlineStr">
        <is>
          <t>Must</t>
        </is>
      </c>
      <c r="G33" t="n">
        <v>1</v>
      </c>
      <c r="H33" t="n">
        <v>2</v>
      </c>
      <c r="I33" t="n">
        <v>3</v>
      </c>
      <c r="J33" t="n">
        <v>2</v>
      </c>
      <c r="K33" t="n">
        <v>3</v>
      </c>
      <c r="L33" t="n">
        <v>2</v>
      </c>
      <c r="M33">
        <f>MIN(H33:L33)</f>
        <v/>
      </c>
      <c r="N33">
        <f>MEDIAN(H33:L33)</f>
        <v/>
      </c>
      <c r="O33">
        <f>MAX(H33:L33)</f>
        <v/>
      </c>
      <c r="P33">
        <f>O33-M33</f>
        <v/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>
        <f>MIN(Q33:U33)</f>
        <v/>
      </c>
      <c r="W33">
        <f>MEDIAN(Q33:U33)</f>
        <v/>
      </c>
      <c r="X33">
        <f>MAX(Q33:U33)</f>
        <v/>
      </c>
      <c r="Y33">
        <f>X33-V33</f>
        <v/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>
        <f>MIN(Z33:AD33)</f>
        <v/>
      </c>
      <c r="AF33">
        <f>MEDIAN(Z33:AD33)</f>
        <v/>
      </c>
      <c r="AG33">
        <f>MAX(Z33:AD33)</f>
        <v/>
      </c>
      <c r="AH33">
        <f>AG33-AE33</f>
        <v/>
      </c>
      <c r="AI33">
        <f>AF33</f>
        <v/>
      </c>
      <c r="AJ33" t="inlineStr"/>
    </row>
    <row r="34">
      <c r="A34" t="inlineStr">
        <is>
          <t>US-32</t>
        </is>
      </c>
      <c r="B34" t="inlineStr">
        <is>
          <t>DevOps</t>
        </is>
      </c>
      <c r="C34" s="4" t="inlineStr">
        <is>
          <t>GitHub Actions CI (flutter + functions + rules + gitleaks + log-presence)</t>
        </is>
      </c>
      <c r="D34" s="4" t="inlineStr">
        <is>
          <t>ci.yml runs on every PR + push to main; all gates green required to merge.</t>
        </is>
      </c>
      <c r="E34" t="inlineStr">
        <is>
          <t>Aok</t>
        </is>
      </c>
      <c r="F34" t="inlineStr">
        <is>
          <t>Must</t>
        </is>
      </c>
      <c r="G34" t="n">
        <v>1</v>
      </c>
      <c r="H34" t="n">
        <v>5</v>
      </c>
      <c r="I34" t="n">
        <v>5</v>
      </c>
      <c r="J34" t="n">
        <v>5</v>
      </c>
      <c r="K34" t="n">
        <v>8</v>
      </c>
      <c r="L34" t="n">
        <v>5</v>
      </c>
      <c r="M34">
        <f>MIN(H34:L34)</f>
        <v/>
      </c>
      <c r="N34">
        <f>MEDIAN(H34:L34)</f>
        <v/>
      </c>
      <c r="O34">
        <f>MAX(H34:L34)</f>
        <v/>
      </c>
      <c r="P34">
        <f>O34-M34</f>
        <v/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>
        <f>MIN(Q34:U34)</f>
        <v/>
      </c>
      <c r="W34">
        <f>MEDIAN(Q34:U34)</f>
        <v/>
      </c>
      <c r="X34">
        <f>MAX(Q34:U34)</f>
        <v/>
      </c>
      <c r="Y34">
        <f>X34-V34</f>
        <v/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>
        <f>MIN(Z34:AD34)</f>
        <v/>
      </c>
      <c r="AF34">
        <f>MEDIAN(Z34:AD34)</f>
        <v/>
      </c>
      <c r="AG34">
        <f>MAX(Z34:AD34)</f>
        <v/>
      </c>
      <c r="AH34">
        <f>AG34-AE34</f>
        <v/>
      </c>
      <c r="AI34">
        <f>AF34</f>
        <v/>
      </c>
      <c r="AJ34" t="inlineStr"/>
    </row>
    <row r="35">
      <c r="A35" t="inlineStr">
        <is>
          <t>US-33</t>
        </is>
      </c>
      <c r="B35" t="inlineStr">
        <is>
          <t>DevOps</t>
        </is>
      </c>
      <c r="C35" s="4" t="inlineStr">
        <is>
          <t>Deploy workflows (functions + rules)</t>
        </is>
      </c>
      <c r="D35" s="4" t="inlineStr">
        <is>
          <t>On push to main, deploys functions + rules using FIREBASE_SERVICE_ACCOUNT secret.</t>
        </is>
      </c>
      <c r="E35" t="inlineStr">
        <is>
          <t>Aok</t>
        </is>
      </c>
      <c r="F35" t="inlineStr">
        <is>
          <t>Must</t>
        </is>
      </c>
      <c r="G35" t="n">
        <v>1</v>
      </c>
      <c r="H35" t="n">
        <v>2</v>
      </c>
      <c r="I35" t="n">
        <v>3</v>
      </c>
      <c r="J35" t="n">
        <v>2</v>
      </c>
      <c r="K35" t="n">
        <v>2</v>
      </c>
      <c r="L35" t="n">
        <v>3</v>
      </c>
      <c r="M35">
        <f>MIN(H35:L35)</f>
        <v/>
      </c>
      <c r="N35">
        <f>MEDIAN(H35:L35)</f>
        <v/>
      </c>
      <c r="O35">
        <f>MAX(H35:L35)</f>
        <v/>
      </c>
      <c r="P35">
        <f>O35-M35</f>
        <v/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>
        <f>MIN(Q35:U35)</f>
        <v/>
      </c>
      <c r="W35">
        <f>MEDIAN(Q35:U35)</f>
        <v/>
      </c>
      <c r="X35">
        <f>MAX(Q35:U35)</f>
        <v/>
      </c>
      <c r="Y35">
        <f>X35-V35</f>
        <v/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>
        <f>MIN(Z35:AD35)</f>
        <v/>
      </c>
      <c r="AF35">
        <f>MEDIAN(Z35:AD35)</f>
        <v/>
      </c>
      <c r="AG35">
        <f>MAX(Z35:AD35)</f>
        <v/>
      </c>
      <c r="AH35">
        <f>AG35-AE35</f>
        <v/>
      </c>
      <c r="AI35">
        <f>AF35</f>
        <v/>
      </c>
      <c r="AJ35" t="inlineStr"/>
    </row>
    <row r="36">
      <c r="A36" t="inlineStr">
        <is>
          <t>US-34</t>
        </is>
      </c>
      <c r="B36" t="inlineStr">
        <is>
          <t>Audit</t>
        </is>
      </c>
      <c r="C36" s="4" t="inlineStr">
        <is>
          <t>SessionEnd hook + copy + redact scripts</t>
        </is>
      </c>
      <c r="D36" s="4" t="inlineStr">
        <is>
          <t>Each dev's session JSONL copied to docs/agent-logs/&lt;handle&gt;/ on session end, redacted of secrets.</t>
        </is>
      </c>
      <c r="E36" t="inlineStr">
        <is>
          <t>Belle</t>
        </is>
      </c>
      <c r="F36" t="inlineStr">
        <is>
          <t>Must</t>
        </is>
      </c>
      <c r="G36" t="n">
        <v>1</v>
      </c>
      <c r="H36" t="n">
        <v>3</v>
      </c>
      <c r="I36" t="n">
        <v>5</v>
      </c>
      <c r="J36" t="n">
        <v>3</v>
      </c>
      <c r="K36" t="n">
        <v>3</v>
      </c>
      <c r="L36" t="n">
        <v>3</v>
      </c>
      <c r="M36">
        <f>MIN(H36:L36)</f>
        <v/>
      </c>
      <c r="N36">
        <f>MEDIAN(H36:L36)</f>
        <v/>
      </c>
      <c r="O36">
        <f>MAX(H36:L36)</f>
        <v/>
      </c>
      <c r="P36">
        <f>O36-M36</f>
        <v/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>
        <f>MIN(Q36:U36)</f>
        <v/>
      </c>
      <c r="W36">
        <f>MEDIAN(Q36:U36)</f>
        <v/>
      </c>
      <c r="X36">
        <f>MAX(Q36:U36)</f>
        <v/>
      </c>
      <c r="Y36">
        <f>X36-V36</f>
        <v/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>
        <f>MIN(Z36:AD36)</f>
        <v/>
      </c>
      <c r="AF36">
        <f>MEDIAN(Z36:AD36)</f>
        <v/>
      </c>
      <c r="AG36">
        <f>MAX(Z36:AD36)</f>
        <v/>
      </c>
      <c r="AH36">
        <f>AG36-AE36</f>
        <v/>
      </c>
      <c r="AI36">
        <f>AF36</f>
        <v/>
      </c>
      <c r="AJ36" t="inlineStr"/>
    </row>
    <row r="37">
      <c r="A37" t="inlineStr">
        <is>
          <t>US-35</t>
        </is>
      </c>
      <c r="B37" t="inlineStr">
        <is>
          <t>Audit</t>
        </is>
      </c>
      <c r="C37" s="4" t="inlineStr">
        <is>
          <t>Log-presence + build-log-index workflows</t>
        </is>
      </c>
      <c r="D37" s="4" t="inlineStr">
        <is>
          <t>log-presence fails PRs missing same-day log; build-log-index regenerates _index.md.</t>
        </is>
      </c>
      <c r="E37" t="inlineStr">
        <is>
          <t>Aok</t>
        </is>
      </c>
      <c r="F37" t="inlineStr">
        <is>
          <t>Should</t>
        </is>
      </c>
      <c r="G37" t="n">
        <v>2</v>
      </c>
      <c r="H37" t="n">
        <v>3</v>
      </c>
      <c r="I37" t="n">
        <v>2</v>
      </c>
      <c r="J37" t="n">
        <v>3</v>
      </c>
      <c r="K37" t="n">
        <v>3</v>
      </c>
      <c r="L37" t="n">
        <v>3</v>
      </c>
      <c r="M37">
        <f>MIN(H37:L37)</f>
        <v/>
      </c>
      <c r="N37">
        <f>MEDIAN(H37:L37)</f>
        <v/>
      </c>
      <c r="O37">
        <f>MAX(H37:L37)</f>
        <v/>
      </c>
      <c r="P37">
        <f>O37-M37</f>
        <v/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>
        <f>MIN(Q37:U37)</f>
        <v/>
      </c>
      <c r="W37">
        <f>MEDIAN(Q37:U37)</f>
        <v/>
      </c>
      <c r="X37">
        <f>MAX(Q37:U37)</f>
        <v/>
      </c>
      <c r="Y37">
        <f>X37-V37</f>
        <v/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>
        <f>MIN(Z37:AD37)</f>
        <v/>
      </c>
      <c r="AF37">
        <f>MEDIAN(Z37:AD37)</f>
        <v/>
      </c>
      <c r="AG37">
        <f>MAX(Z37:AD37)</f>
        <v/>
      </c>
      <c r="AH37">
        <f>AG37-AE37</f>
        <v/>
      </c>
      <c r="AI37">
        <f>AF37</f>
        <v/>
      </c>
      <c r="AJ37" t="inlineStr"/>
    </row>
    <row r="38">
      <c r="A38" t="inlineStr">
        <is>
          <t>US-36</t>
        </is>
      </c>
      <c r="B38" t="inlineStr">
        <is>
          <t>Quality</t>
        </is>
      </c>
      <c r="C38" s="4" t="inlineStr">
        <is>
          <t>Integration day + bug bash + demo prep</t>
        </is>
      </c>
      <c r="D38" s="4" t="inlineStr">
        <is>
          <t>Full happy-path + failure-path test on real Firebase project; seed demo data; record screencast.</t>
        </is>
      </c>
      <c r="E38" t="inlineStr">
        <is>
          <t>All</t>
        </is>
      </c>
      <c r="F38" t="inlineStr">
        <is>
          <t>Must</t>
        </is>
      </c>
      <c r="G38" t="n">
        <v>2</v>
      </c>
      <c r="H38" t="n">
        <v>5</v>
      </c>
      <c r="I38" t="n">
        <v>8</v>
      </c>
      <c r="J38" t="n">
        <v>5</v>
      </c>
      <c r="K38" t="n">
        <v>5</v>
      </c>
      <c r="L38" t="n">
        <v>8</v>
      </c>
      <c r="M38">
        <f>MIN(H38:L38)</f>
        <v/>
      </c>
      <c r="N38">
        <f>MEDIAN(H38:L38)</f>
        <v/>
      </c>
      <c r="O38">
        <f>MAX(H38:L38)</f>
        <v/>
      </c>
      <c r="P38">
        <f>O38-M38</f>
        <v/>
      </c>
      <c r="Q38" t="n">
        <v>5</v>
      </c>
      <c r="R38" t="n">
        <v>5</v>
      </c>
      <c r="S38" t="n">
        <v>5</v>
      </c>
      <c r="T38" t="n">
        <v>8</v>
      </c>
      <c r="U38" t="n">
        <v>5</v>
      </c>
      <c r="V38">
        <f>MIN(Q38:U38)</f>
        <v/>
      </c>
      <c r="W38">
        <f>MEDIAN(Q38:U38)</f>
        <v/>
      </c>
      <c r="X38">
        <f>MAX(Q38:U38)</f>
        <v/>
      </c>
      <c r="Y38">
        <f>X38-V38</f>
        <v/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>
        <f>MIN(Z38:AD38)</f>
        <v/>
      </c>
      <c r="AF38">
        <f>MEDIAN(Z38:AD38)</f>
        <v/>
      </c>
      <c r="AG38">
        <f>MAX(Z38:AD38)</f>
        <v/>
      </c>
      <c r="AH38">
        <f>AG38-AE38</f>
        <v/>
      </c>
      <c r="AI38">
        <f>AF38</f>
        <v/>
      </c>
      <c r="AJ38" t="inlineStr"/>
    </row>
    <row r="39">
      <c r="A39" s="5" t="inlineStr">
        <is>
          <t>TOTAL</t>
        </is>
      </c>
      <c r="AI39" s="6">
        <f>SUM(AI3:AI38)</f>
        <v/>
      </c>
    </row>
  </sheetData>
  <mergeCells count="3">
    <mergeCell ref="H1:L1"/>
    <mergeCell ref="Q1:U1"/>
    <mergeCell ref="Z1:AD1"/>
  </mergeCells>
  <conditionalFormatting sqref="P3:P38">
    <cfRule type="colorScale" priority="1">
      <colorScale>
        <cfvo type="num" val="0"/>
        <cfvo type="num" val="5"/>
        <cfvo type="num" val="12"/>
        <color rgb="0063BE7B"/>
        <color rgb="00FFEB84"/>
        <color rgb="00F8696B"/>
      </colorScale>
    </cfRule>
  </conditionalFormatting>
  <conditionalFormatting sqref="Y3:Y38">
    <cfRule type="colorScale" priority="1">
      <colorScale>
        <cfvo type="num" val="0"/>
        <cfvo type="num" val="5"/>
        <cfvo type="num" val="12"/>
        <color rgb="0063BE7B"/>
        <color rgb="00FFEB84"/>
        <color rgb="00F8696B"/>
      </colorScale>
    </cfRule>
  </conditionalFormatting>
  <conditionalFormatting sqref="AH3:AH38">
    <cfRule type="colorScale" priority="1">
      <colorScale>
        <cfvo type="num" val="0"/>
        <cfvo type="num" val="5"/>
        <cfvo type="num" val="12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Epic</t>
        </is>
      </c>
      <c r="B1" s="5" t="inlineStr">
        <is>
          <t>Items</t>
        </is>
      </c>
      <c r="C1" s="5" t="inlineStr">
        <is>
          <t>Consensus SP total</t>
        </is>
      </c>
      <c r="D1" s="5" t="inlineStr">
        <is>
          <t>Person-days est.</t>
        </is>
      </c>
    </row>
    <row r="2">
      <c r="A2" t="inlineStr">
        <is>
          <t>Identity</t>
        </is>
      </c>
      <c r="B2">
        <f>COUNTIF(Backlog!B:B,A2)</f>
        <v/>
      </c>
      <c r="C2">
        <f>SUMIF(Backlog!B:B,A2,Backlog!AI:AI)</f>
        <v/>
      </c>
      <c r="D2">
        <f>C2*0.25</f>
        <v/>
      </c>
    </row>
    <row r="3">
      <c r="A3" t="inlineStr">
        <is>
          <t>Catalog</t>
        </is>
      </c>
      <c r="B3">
        <f>COUNTIF(Backlog!B:B,A3)</f>
        <v/>
      </c>
      <c r="C3">
        <f>SUMIF(Backlog!B:B,A3,Backlog!AI:AI)</f>
        <v/>
      </c>
      <c r="D3">
        <f>C3*0.25</f>
        <v/>
      </c>
    </row>
    <row r="4">
      <c r="A4" t="inlineStr">
        <is>
          <t>Request</t>
        </is>
      </c>
      <c r="B4">
        <f>COUNTIF(Backlog!B:B,A4)</f>
        <v/>
      </c>
      <c r="C4">
        <f>SUMIF(Backlog!B:B,A4,Backlog!AI:AI)</f>
        <v/>
      </c>
      <c r="D4">
        <f>C4*0.25</f>
        <v/>
      </c>
    </row>
    <row r="5">
      <c r="A5" t="inlineStr">
        <is>
          <t>Fleet</t>
        </is>
      </c>
      <c r="B5">
        <f>COUNTIF(Backlog!B:B,A5)</f>
        <v/>
      </c>
      <c r="C5">
        <f>SUMIF(Backlog!B:B,A5,Backlog!AI:AI)</f>
        <v/>
      </c>
      <c r="D5">
        <f>C5*0.25</f>
        <v/>
      </c>
    </row>
    <row r="6">
      <c r="A6" t="inlineStr">
        <is>
          <t>Tracking</t>
        </is>
      </c>
      <c r="B6">
        <f>COUNTIF(Backlog!B:B,A6)</f>
        <v/>
      </c>
      <c r="C6">
        <f>SUMIF(Backlog!B:B,A6,Backlog!AI:AI)</f>
        <v/>
      </c>
      <c r="D6">
        <f>C6*0.25</f>
        <v/>
      </c>
    </row>
    <row r="7">
      <c r="A7" t="inlineStr">
        <is>
          <t>Backend</t>
        </is>
      </c>
      <c r="B7">
        <f>COUNTIF(Backlog!B:B,A7)</f>
        <v/>
      </c>
      <c r="C7">
        <f>SUMIF(Backlog!B:B,A7,Backlog!AI:AI)</f>
        <v/>
      </c>
      <c r="D7">
        <f>C7*0.25</f>
        <v/>
      </c>
    </row>
    <row r="8">
      <c r="A8" t="inlineStr">
        <is>
          <t>DevOps</t>
        </is>
      </c>
      <c r="B8">
        <f>COUNTIF(Backlog!B:B,A8)</f>
        <v/>
      </c>
      <c r="C8">
        <f>SUMIF(Backlog!B:B,A8,Backlog!AI:AI)</f>
        <v/>
      </c>
      <c r="D8">
        <f>C8*0.25</f>
        <v/>
      </c>
    </row>
    <row r="9">
      <c r="A9" t="inlineStr">
        <is>
          <t>Audit</t>
        </is>
      </c>
      <c r="B9">
        <f>COUNTIF(Backlog!B:B,A9)</f>
        <v/>
      </c>
      <c r="C9">
        <f>SUMIF(Backlog!B:B,A9,Backlog!AI:AI)</f>
        <v/>
      </c>
      <c r="D9">
        <f>C9*0.25</f>
        <v/>
      </c>
    </row>
    <row r="10">
      <c r="A10" t="inlineStr">
        <is>
          <t>Quality</t>
        </is>
      </c>
      <c r="B10">
        <f>COUNTIF(Backlog!B:B,A10)</f>
        <v/>
      </c>
      <c r="C10">
        <f>SUMIF(Backlog!B:B,A10,Backlog!AI:AI)</f>
        <v/>
      </c>
      <c r="D10">
        <f>C10*0.25</f>
        <v/>
      </c>
    </row>
    <row r="11">
      <c r="A11" s="5" t="inlineStr">
        <is>
          <t>TOTAL</t>
        </is>
      </c>
      <c r="B11" s="5">
        <f>SUM(B2:B10)</f>
        <v/>
      </c>
      <c r="C11" s="5">
        <f>SUM(C2:C10)</f>
        <v/>
      </c>
      <c r="D11" s="5">
        <f>SUM(D2:D10)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Owner</t>
        </is>
      </c>
      <c r="B1" s="5" t="inlineStr">
        <is>
          <t>Items</t>
        </is>
      </c>
      <c r="C1" s="5" t="inlineStr">
        <is>
          <t>Consensus SP</t>
        </is>
      </c>
      <c r="D1" s="5" t="inlineStr">
        <is>
          <t>Person-days</t>
        </is>
      </c>
      <c r="E1" s="5" t="inlineStr">
        <is>
          <t>Capacity (14d)</t>
        </is>
      </c>
      <c r="F1" s="5" t="inlineStr">
        <is>
          <t>Utilization</t>
        </is>
      </c>
    </row>
    <row r="2">
      <c r="A2" t="inlineStr">
        <is>
          <t>Aok</t>
        </is>
      </c>
      <c r="B2">
        <f>COUNTIF(Backlog!E:E,A2)</f>
        <v/>
      </c>
      <c r="C2">
        <f>SUMIF(Backlog!E:E,A2,Backlog!AI:AI)</f>
        <v/>
      </c>
      <c r="D2">
        <f>C2*0.25</f>
        <v/>
      </c>
      <c r="E2" t="n">
        <v>14</v>
      </c>
      <c r="F2" s="7">
        <f>IF(E2=0,"-",D2/E2)</f>
        <v/>
      </c>
    </row>
    <row r="3">
      <c r="A3" t="inlineStr">
        <is>
          <t>Belle</t>
        </is>
      </c>
      <c r="B3">
        <f>COUNTIF(Backlog!E:E,A3)</f>
        <v/>
      </c>
      <c r="C3">
        <f>SUMIF(Backlog!E:E,A3,Backlog!AI:AI)</f>
        <v/>
      </c>
      <c r="D3">
        <f>C3*0.25</f>
        <v/>
      </c>
      <c r="E3" t="n">
        <v>14</v>
      </c>
      <c r="F3" s="7">
        <f>IF(E3=0,"-",D3/E3)</f>
        <v/>
      </c>
    </row>
    <row r="4">
      <c r="A4" t="inlineStr">
        <is>
          <t>Bew</t>
        </is>
      </c>
      <c r="B4">
        <f>COUNTIF(Backlog!E:E,A4)</f>
        <v/>
      </c>
      <c r="C4">
        <f>SUMIF(Backlog!E:E,A4,Backlog!AI:AI)</f>
        <v/>
      </c>
      <c r="D4">
        <f>C4*0.25</f>
        <v/>
      </c>
      <c r="E4" t="n">
        <v>14</v>
      </c>
      <c r="F4" s="7">
        <f>IF(E4=0,"-",D4/E4)</f>
        <v/>
      </c>
    </row>
    <row r="5">
      <c r="A5" t="inlineStr">
        <is>
          <t>Poom</t>
        </is>
      </c>
      <c r="B5">
        <f>COUNTIF(Backlog!E:E,A5)</f>
        <v/>
      </c>
      <c r="C5">
        <f>SUMIF(Backlog!E:E,A5,Backlog!AI:AI)</f>
        <v/>
      </c>
      <c r="D5">
        <f>C5*0.25</f>
        <v/>
      </c>
      <c r="E5" t="n">
        <v>14</v>
      </c>
      <c r="F5" s="7">
        <f>IF(E5=0,"-",D5/E5)</f>
        <v/>
      </c>
    </row>
    <row r="6">
      <c r="A6" t="inlineStr">
        <is>
          <t>Tawan</t>
        </is>
      </c>
      <c r="B6">
        <f>COUNTIF(Backlog!E:E,A6)</f>
        <v/>
      </c>
      <c r="C6">
        <f>SUMIF(Backlog!E:E,A6,Backlog!AI:AI)</f>
        <v/>
      </c>
      <c r="D6">
        <f>C6*0.25</f>
        <v/>
      </c>
      <c r="E6" t="n">
        <v>14</v>
      </c>
      <c r="F6" s="7">
        <f>IF(E6=0,"-",D6/E6)</f>
        <v/>
      </c>
    </row>
    <row r="7">
      <c r="A7" t="inlineStr">
        <is>
          <t>All</t>
        </is>
      </c>
      <c r="B7">
        <f>COUNTIF(Backlog!E:E,A7)</f>
        <v/>
      </c>
      <c r="C7">
        <f>SUMIF(Backlog!E:E,A7,Backlog!AI:AI)</f>
        <v/>
      </c>
      <c r="D7">
        <f>C7*0.25</f>
        <v/>
      </c>
      <c r="E7" t="n">
        <v>0</v>
      </c>
      <c r="F7" s="7">
        <f>IF(E7=0,"-",D7/E7)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2026-05-19T08:40:59Z</dcterms:created>
  <dcterms:modified xmlns:dcterms="http://purl.org/dc/terms/" xmlns:xsi="http://www.w3.org/2001/XMLSchema-instance" xsi:type="dcterms:W3CDTF">2026-05-19T08:40:59Z</dcterms:modified>
</cp:coreProperties>
</file>